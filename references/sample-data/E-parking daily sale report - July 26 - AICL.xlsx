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Document\Global Software\Garki e-park\Reporting\July 26\"/>
    </mc:Choice>
  </mc:AlternateContent>
  <xr:revisionPtr revIDLastSave="0" documentId="13_ncr:1_{1D774945-DA2B-472B-8983-2C75E7CF49F9}" xr6:coauthVersionLast="36" xr6:coauthVersionMax="36" xr10:uidLastSave="{00000000-0000-0000-0000-000000000000}"/>
  <bookViews>
    <workbookView xWindow="0" yWindow="0" windowWidth="19200" windowHeight="6060" xr2:uid="{B5F4582F-15A7-4991-8877-0C7161A2C0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71" i="1" l="1"/>
  <c r="I171" i="1"/>
  <c r="K165" i="1"/>
  <c r="I165" i="1"/>
  <c r="G165" i="1"/>
  <c r="H165" i="1" s="1"/>
  <c r="L165" i="1" s="1"/>
  <c r="D165" i="1"/>
  <c r="K164" i="1"/>
  <c r="K163" i="1"/>
  <c r="K162" i="1"/>
  <c r="N165" i="1" l="1"/>
  <c r="M165" i="1"/>
  <c r="O165" i="1" s="1"/>
  <c r="I159" i="1" l="1"/>
  <c r="G159" i="1"/>
  <c r="H159" i="1" s="1"/>
  <c r="D159" i="1"/>
  <c r="K158" i="1"/>
  <c r="K157" i="1"/>
  <c r="K156" i="1"/>
  <c r="K159" i="1" l="1"/>
  <c r="L159" i="1" s="1"/>
  <c r="N159" i="1" l="1"/>
  <c r="M159" i="1"/>
  <c r="O159" i="1" s="1"/>
  <c r="K153" i="1" l="1"/>
  <c r="I153" i="1"/>
  <c r="G153" i="1"/>
  <c r="H153" i="1" s="1"/>
  <c r="D153" i="1"/>
  <c r="K152" i="1"/>
  <c r="K151" i="1"/>
  <c r="K150" i="1"/>
  <c r="L153" i="1" l="1"/>
  <c r="N153" i="1" l="1"/>
  <c r="M153" i="1"/>
  <c r="O153" i="1" s="1"/>
  <c r="K147" i="1" l="1"/>
  <c r="I147" i="1"/>
  <c r="G147" i="1"/>
  <c r="H147" i="1" s="1"/>
  <c r="L147" i="1" s="1"/>
  <c r="D147" i="1"/>
  <c r="K146" i="1"/>
  <c r="K145" i="1"/>
  <c r="K144" i="1"/>
  <c r="N147" i="1" l="1"/>
  <c r="M147" i="1"/>
  <c r="O147" i="1" s="1"/>
  <c r="K141" i="1" l="1"/>
  <c r="I141" i="1"/>
  <c r="G141" i="1"/>
  <c r="H141" i="1" s="1"/>
  <c r="L141" i="1" s="1"/>
  <c r="D141" i="1"/>
  <c r="K140" i="1"/>
  <c r="K139" i="1"/>
  <c r="K138" i="1"/>
  <c r="N141" i="1" l="1"/>
  <c r="M141" i="1"/>
  <c r="O141" i="1" s="1"/>
  <c r="K135" i="1" l="1"/>
  <c r="I135" i="1"/>
  <c r="G135" i="1"/>
  <c r="D135" i="1"/>
  <c r="K134" i="1"/>
  <c r="K133" i="1"/>
  <c r="K132" i="1"/>
  <c r="H135" i="1" l="1"/>
  <c r="L135" i="1" s="1"/>
  <c r="M135" i="1" s="1"/>
  <c r="N135" i="1" l="1"/>
  <c r="O135" i="1"/>
  <c r="K129" i="1" l="1"/>
  <c r="I129" i="1"/>
  <c r="G129" i="1"/>
  <c r="D129" i="1"/>
  <c r="K128" i="1"/>
  <c r="K127" i="1"/>
  <c r="K126" i="1"/>
  <c r="H129" i="1" l="1"/>
  <c r="L129" i="1" s="1"/>
  <c r="N129" i="1" s="1"/>
  <c r="M129" i="1" l="1"/>
  <c r="O129" i="1"/>
  <c r="K123" i="1" l="1"/>
  <c r="I123" i="1"/>
  <c r="G123" i="1"/>
  <c r="H123" i="1" s="1"/>
  <c r="D123" i="1"/>
  <c r="K122" i="1"/>
  <c r="K121" i="1"/>
  <c r="L123" i="1" l="1"/>
  <c r="N123" i="1" l="1"/>
  <c r="M123" i="1"/>
  <c r="O123" i="1" s="1"/>
  <c r="K118" i="1" l="1"/>
  <c r="I118" i="1"/>
  <c r="G118" i="1"/>
  <c r="H118" i="1" s="1"/>
  <c r="L118" i="1" s="1"/>
  <c r="D118" i="1"/>
  <c r="K117" i="1"/>
  <c r="K116" i="1"/>
  <c r="N118" i="1" l="1"/>
  <c r="M118" i="1"/>
  <c r="O118" i="1" s="1"/>
  <c r="I113" i="1" l="1"/>
  <c r="G113" i="1"/>
  <c r="H113" i="1" s="1"/>
  <c r="D113" i="1"/>
  <c r="K112" i="1"/>
  <c r="K111" i="1"/>
  <c r="K113" i="1" l="1"/>
  <c r="L113" i="1" s="1"/>
  <c r="N113" i="1" s="1"/>
  <c r="M113" i="1" l="1"/>
  <c r="O113" i="1" s="1"/>
  <c r="K108" i="1" l="1"/>
  <c r="I108" i="1"/>
  <c r="G108" i="1"/>
  <c r="H108" i="1" s="1"/>
  <c r="L108" i="1" s="1"/>
  <c r="D108" i="1"/>
  <c r="K107" i="1"/>
  <c r="K106" i="1"/>
  <c r="N108" i="1" l="1"/>
  <c r="M108" i="1"/>
  <c r="O108" i="1" s="1"/>
  <c r="K103" i="1" l="1"/>
  <c r="I103" i="1"/>
  <c r="G103" i="1"/>
  <c r="H103" i="1" s="1"/>
  <c r="D103" i="1"/>
  <c r="K102" i="1"/>
  <c r="K101" i="1"/>
  <c r="L103" i="1" l="1"/>
  <c r="N103" i="1" l="1"/>
  <c r="M103" i="1"/>
  <c r="O103" i="1" s="1"/>
  <c r="K98" i="1" l="1"/>
  <c r="I98" i="1"/>
  <c r="G98" i="1"/>
  <c r="H98" i="1" s="1"/>
  <c r="D98" i="1"/>
  <c r="K97" i="1"/>
  <c r="K96" i="1"/>
  <c r="L98" i="1" l="1"/>
  <c r="N98" i="1" l="1"/>
  <c r="M98" i="1"/>
  <c r="O98" i="1" s="1"/>
  <c r="K93" i="1" l="1"/>
  <c r="I93" i="1"/>
  <c r="G93" i="1"/>
  <c r="H93" i="1" s="1"/>
  <c r="L93" i="1" s="1"/>
  <c r="D93" i="1"/>
  <c r="K92" i="1"/>
  <c r="K91" i="1"/>
  <c r="N93" i="1" l="1"/>
  <c r="M93" i="1"/>
  <c r="O93" i="1" s="1"/>
  <c r="K88" i="1" l="1"/>
  <c r="I88" i="1"/>
  <c r="G88" i="1"/>
  <c r="H88" i="1" s="1"/>
  <c r="L88" i="1" s="1"/>
  <c r="D88" i="1"/>
  <c r="K87" i="1"/>
  <c r="K86" i="1"/>
  <c r="N88" i="1" l="1"/>
  <c r="M88" i="1"/>
  <c r="O88" i="1" l="1"/>
  <c r="K83" i="1" l="1"/>
  <c r="I83" i="1"/>
  <c r="G83" i="1"/>
  <c r="H83" i="1" s="1"/>
  <c r="L83" i="1" s="1"/>
  <c r="D83" i="1"/>
  <c r="K82" i="1"/>
  <c r="K81" i="1"/>
  <c r="N83" i="1" l="1"/>
  <c r="M83" i="1"/>
  <c r="O83" i="1" s="1"/>
  <c r="K78" i="1" l="1"/>
  <c r="I78" i="1"/>
  <c r="G78" i="1"/>
  <c r="H78" i="1" s="1"/>
  <c r="L78" i="1" s="1"/>
  <c r="D78" i="1"/>
  <c r="K77" i="1"/>
  <c r="K76" i="1"/>
  <c r="N78" i="1" l="1"/>
  <c r="M78" i="1"/>
  <c r="O78" i="1" s="1"/>
  <c r="K73" i="1" l="1"/>
  <c r="I73" i="1"/>
  <c r="G73" i="1"/>
  <c r="H73" i="1" s="1"/>
  <c r="L73" i="1" s="1"/>
  <c r="D73" i="1"/>
  <c r="K72" i="1"/>
  <c r="K71" i="1"/>
  <c r="K70" i="1"/>
  <c r="N73" i="1" l="1"/>
  <c r="M73" i="1"/>
  <c r="O73" i="1" s="1"/>
  <c r="K67" i="1" l="1"/>
  <c r="I67" i="1"/>
  <c r="G67" i="1"/>
  <c r="H67" i="1" s="1"/>
  <c r="L67" i="1" s="1"/>
  <c r="D67" i="1"/>
  <c r="K66" i="1"/>
  <c r="M67" i="1" l="1"/>
  <c r="N67" i="1"/>
  <c r="O67" i="1" l="1"/>
  <c r="K63" i="1" l="1"/>
  <c r="I63" i="1"/>
  <c r="G63" i="1"/>
  <c r="H63" i="1" s="1"/>
  <c r="L63" i="1" s="1"/>
  <c r="D63" i="1"/>
  <c r="K62" i="1"/>
  <c r="K61" i="1"/>
  <c r="K60" i="1"/>
  <c r="N63" i="1" l="1"/>
  <c r="M63" i="1"/>
  <c r="O63" i="1" s="1"/>
  <c r="K57" i="1" l="1"/>
  <c r="I57" i="1"/>
  <c r="G57" i="1"/>
  <c r="H57" i="1" s="1"/>
  <c r="L57" i="1" s="1"/>
  <c r="D57" i="1"/>
  <c r="K56" i="1"/>
  <c r="K55" i="1"/>
  <c r="N57" i="1" l="1"/>
  <c r="M57" i="1"/>
  <c r="O57" i="1" s="1"/>
  <c r="K52" i="1" l="1"/>
  <c r="I52" i="1"/>
  <c r="G52" i="1"/>
  <c r="D52" i="1"/>
  <c r="K51" i="1"/>
  <c r="K50" i="1"/>
  <c r="H52" i="1" l="1"/>
  <c r="L52" i="1" s="1"/>
  <c r="N52" i="1" s="1"/>
  <c r="M52" i="1" l="1"/>
  <c r="O52" i="1" s="1"/>
  <c r="K47" i="1" l="1"/>
  <c r="I47" i="1"/>
  <c r="G47" i="1"/>
  <c r="D47" i="1"/>
  <c r="K46" i="1"/>
  <c r="K45" i="1"/>
  <c r="H47" i="1" l="1"/>
  <c r="L47" i="1" s="1"/>
  <c r="N47" i="1" s="1"/>
  <c r="M47" i="1"/>
  <c r="O47" i="1" l="1"/>
  <c r="K42" i="1" l="1"/>
  <c r="I42" i="1"/>
  <c r="G42" i="1"/>
  <c r="H42" i="1" s="1"/>
  <c r="L42" i="1" s="1"/>
  <c r="D42" i="1"/>
  <c r="K41" i="1"/>
  <c r="K40" i="1"/>
  <c r="N42" i="1" l="1"/>
  <c r="M42" i="1"/>
  <c r="O42" i="1" s="1"/>
  <c r="K37" i="1" l="1"/>
  <c r="I37" i="1"/>
  <c r="G37" i="1"/>
  <c r="D37" i="1"/>
  <c r="K36" i="1"/>
  <c r="K35" i="1"/>
  <c r="H37" i="1" l="1"/>
  <c r="L37" i="1" s="1"/>
  <c r="N37" i="1" s="1"/>
  <c r="M37" i="1"/>
  <c r="O37" i="1" l="1"/>
  <c r="K32" i="1" l="1"/>
  <c r="I32" i="1"/>
  <c r="G32" i="1"/>
  <c r="H32" i="1" s="1"/>
  <c r="L32" i="1" s="1"/>
  <c r="D32" i="1"/>
  <c r="K31" i="1"/>
  <c r="N32" i="1" l="1"/>
  <c r="M32" i="1"/>
  <c r="O32" i="1" s="1"/>
  <c r="K28" i="1" l="1"/>
  <c r="I28" i="1"/>
  <c r="G28" i="1"/>
  <c r="D28" i="1"/>
  <c r="K27" i="1"/>
  <c r="K26" i="1"/>
  <c r="K25" i="1"/>
  <c r="H28" i="1" l="1"/>
  <c r="L28" i="1" s="1"/>
  <c r="N28" i="1" l="1"/>
  <c r="M28" i="1"/>
  <c r="O28" i="1" s="1"/>
  <c r="K22" i="1" l="1"/>
  <c r="I22" i="1"/>
  <c r="G22" i="1"/>
  <c r="D22" i="1"/>
  <c r="K21" i="1"/>
  <c r="K20" i="1"/>
  <c r="H22" i="1" l="1"/>
  <c r="L22" i="1" s="1"/>
  <c r="M22" i="1" s="1"/>
  <c r="N22" i="1" l="1"/>
  <c r="O22" i="1"/>
  <c r="K17" i="1" l="1"/>
  <c r="I17" i="1"/>
  <c r="G17" i="1"/>
  <c r="D17" i="1"/>
  <c r="K16" i="1"/>
  <c r="K15" i="1"/>
  <c r="K14" i="1"/>
  <c r="H17" i="1" l="1"/>
  <c r="L17" i="1" s="1"/>
  <c r="N17" i="1" s="1"/>
  <c r="M17" i="1"/>
  <c r="O17" i="1" l="1"/>
  <c r="E171" i="1" l="1"/>
  <c r="B171" i="1"/>
  <c r="I11" i="1" l="1"/>
  <c r="K10" i="1"/>
  <c r="K9" i="1"/>
  <c r="K11" i="1" l="1"/>
  <c r="G11" i="1"/>
  <c r="G171" i="1" s="1"/>
  <c r="D11" i="1"/>
  <c r="D171" i="1" s="1"/>
  <c r="H11" i="1" l="1"/>
  <c r="L11" i="1" l="1"/>
  <c r="L171" i="1" s="1"/>
  <c r="H171" i="1"/>
  <c r="L172" i="1" s="1"/>
  <c r="N11" i="1" l="1"/>
  <c r="N171" i="1" s="1"/>
  <c r="M11" i="1"/>
  <c r="M171" i="1" s="1"/>
  <c r="O11" i="1" l="1"/>
  <c r="O171" i="1" s="1"/>
</calcChain>
</file>

<file path=xl/sharedStrings.xml><?xml version="1.0" encoding="utf-8"?>
<sst xmlns="http://schemas.openxmlformats.org/spreadsheetml/2006/main" count="113" uniqueCount="21">
  <si>
    <t>Global Software and Digital Solutions Ltd</t>
  </si>
  <si>
    <t>Daily sale report - E-parking, Garki project</t>
  </si>
  <si>
    <t>Date</t>
  </si>
  <si>
    <t>Shop keepers</t>
  </si>
  <si>
    <t>No</t>
  </si>
  <si>
    <t>Total</t>
  </si>
  <si>
    <t xml:space="preserve"> Annual Subscription</t>
  </si>
  <si>
    <t>Cab Drivers</t>
  </si>
  <si>
    <t xml:space="preserve"> Monthly Subscription</t>
  </si>
  <si>
    <t>Total cards Sale</t>
  </si>
  <si>
    <t>Amount</t>
  </si>
  <si>
    <t>Total Collection</t>
  </si>
  <si>
    <t>AICL</t>
  </si>
  <si>
    <t>GSDS</t>
  </si>
  <si>
    <t>TOTAL</t>
  </si>
  <si>
    <t>Daily Parking collection</t>
  </si>
  <si>
    <t>Split</t>
  </si>
  <si>
    <t>Parking fee</t>
  </si>
  <si>
    <t>CARD SALES</t>
  </si>
  <si>
    <t>Nos</t>
  </si>
  <si>
    <t>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</si>
</sst>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3" fontId="0" fillId="0" borderId="0" xfId="0" applyNumberFormat="1"/>
    <xf numFmtId="3" fontId="1" fillId="0" borderId="0" xfId="0" applyNumberFormat="1" applyFont="1"/>
    <xf numFmtId="14" fontId="0" fillId="0" borderId="1" xfId="0" applyNumberFormat="1" applyBorder="1"/>
    <xf numFmtId="3" fontId="0" fillId="0" borderId="2" xfId="0" applyNumberFormat="1" applyBorder="1"/>
    <xf numFmtId="0" fontId="1" fillId="0" borderId="3" xfId="0" applyFont="1" applyBorder="1"/>
    <xf numFmtId="3" fontId="0" fillId="0" borderId="3" xfId="0" applyNumberFormat="1" applyBorder="1"/>
    <xf numFmtId="0" fontId="0" fillId="0" borderId="3" xfId="0" applyBorder="1"/>
    <xf numFmtId="9" fontId="1" fillId="0" borderId="3" xfId="0" applyNumberFormat="1" applyFont="1" applyBorder="1"/>
    <xf numFmtId="3" fontId="1" fillId="0" borderId="3" xfId="0" applyNumberFormat="1" applyFont="1" applyBorder="1" applyAlignment="1">
      <alignment horizontal="right" wrapText="1"/>
    </xf>
    <xf numFmtId="0" fontId="1" fillId="0" borderId="1" xfId="0" applyFont="1" applyBorder="1"/>
    <xf numFmtId="0" fontId="0" fillId="0" borderId="1" xfId="0" applyBorder="1"/>
    <xf numFmtId="3" fontId="0" fillId="0" borderId="4" xfId="0" applyNumberFormat="1" applyBorder="1"/>
    <xf numFmtId="3" fontId="1" fillId="0" borderId="2" xfId="0" applyNumberFormat="1" applyFont="1" applyBorder="1" applyAlignment="1">
      <alignment horizontal="right"/>
    </xf>
    <xf numFmtId="3" fontId="1" fillId="0" borderId="8" xfId="0" applyNumberFormat="1" applyFont="1" applyBorder="1" applyAlignment="1">
      <alignment horizontal="right"/>
    </xf>
    <xf numFmtId="3" fontId="0" fillId="0" borderId="8" xfId="0" applyNumberFormat="1" applyBorder="1"/>
    <xf numFmtId="3" fontId="1" fillId="0" borderId="9" xfId="0" applyNumberFormat="1" applyFont="1" applyBorder="1"/>
    <xf numFmtId="3" fontId="1" fillId="0" borderId="9" xfId="0" applyNumberFormat="1" applyFont="1" applyBorder="1" applyAlignment="1">
      <alignment horizontal="right" wrapText="1"/>
    </xf>
    <xf numFmtId="3" fontId="0" fillId="0" borderId="9" xfId="0" applyNumberFormat="1" applyBorder="1"/>
    <xf numFmtId="3" fontId="1" fillId="0" borderId="2" xfId="0" applyNumberFormat="1" applyFont="1" applyBorder="1" applyAlignment="1">
      <alignment horizontal="right" wrapText="1"/>
    </xf>
    <xf numFmtId="3" fontId="1" fillId="0" borderId="8" xfId="0" applyNumberFormat="1" applyFont="1" applyBorder="1" applyAlignment="1">
      <alignment horizontal="right" wrapText="1"/>
    </xf>
    <xf numFmtId="3" fontId="0" fillId="0" borderId="1" xfId="0" applyNumberFormat="1" applyBorder="1"/>
    <xf numFmtId="9" fontId="1" fillId="0" borderId="2" xfId="0" applyNumberFormat="1" applyFont="1" applyBorder="1"/>
    <xf numFmtId="3" fontId="1" fillId="0" borderId="8" xfId="0" applyNumberFormat="1" applyFont="1" applyBorder="1"/>
    <xf numFmtId="3" fontId="0" fillId="0" borderId="10" xfId="0" applyNumberFormat="1" applyBorder="1"/>
    <xf numFmtId="3" fontId="1" fillId="0" borderId="3" xfId="0" applyNumberFormat="1" applyFont="1" applyBorder="1"/>
    <xf numFmtId="3" fontId="2" fillId="0" borderId="3" xfId="0" applyNumberFormat="1" applyFont="1" applyBorder="1" applyAlignment="1">
      <alignment horizontal="right"/>
    </xf>
    <xf numFmtId="14" fontId="1" fillId="0" borderId="1" xfId="0" applyNumberFormat="1" applyFont="1" applyBorder="1"/>
    <xf numFmtId="3" fontId="1" fillId="0" borderId="2" xfId="0" applyNumberFormat="1" applyFont="1" applyBorder="1"/>
    <xf numFmtId="3" fontId="0" fillId="0" borderId="14" xfId="0" applyNumberFormat="1" applyBorder="1"/>
    <xf numFmtId="3" fontId="0" fillId="0" borderId="15" xfId="0" applyNumberFormat="1" applyBorder="1"/>
    <xf numFmtId="3" fontId="0" fillId="0" borderId="16" xfId="0" applyNumberFormat="1" applyBorder="1"/>
    <xf numFmtId="3" fontId="2" fillId="0" borderId="2" xfId="0" applyNumberFormat="1" applyFont="1" applyBorder="1" applyAlignment="1">
      <alignment horizontal="right"/>
    </xf>
    <xf numFmtId="3" fontId="2" fillId="0" borderId="8" xfId="0" applyNumberFormat="1" applyFont="1" applyBorder="1" applyAlignment="1">
      <alignment horizontal="right"/>
    </xf>
    <xf numFmtId="3" fontId="1" fillId="2" borderId="9" xfId="0" applyNumberFormat="1" applyFont="1" applyFill="1" applyBorder="1"/>
    <xf numFmtId="3" fontId="1" fillId="2" borderId="9" xfId="0" applyNumberFormat="1" applyFont="1" applyFill="1" applyBorder="1" applyAlignment="1">
      <alignment horizontal="right" wrapText="1"/>
    </xf>
    <xf numFmtId="3" fontId="0" fillId="2" borderId="9" xfId="0" applyNumberFormat="1" applyFill="1" applyBorder="1"/>
    <xf numFmtId="3" fontId="1" fillId="2" borderId="8" xfId="0" applyNumberFormat="1" applyFont="1" applyFill="1" applyBorder="1" applyAlignment="1">
      <alignment horizontal="right" wrapText="1"/>
    </xf>
    <xf numFmtId="3" fontId="1" fillId="2" borderId="8" xfId="0" applyNumberFormat="1" applyFont="1" applyFill="1" applyBorder="1"/>
    <xf numFmtId="3" fontId="0" fillId="2" borderId="8" xfId="0" applyNumberFormat="1" applyFill="1" applyBorder="1"/>
    <xf numFmtId="3" fontId="0" fillId="2" borderId="16" xfId="0" applyNumberFormat="1" applyFill="1" applyBorder="1"/>
    <xf numFmtId="3" fontId="1" fillId="3" borderId="2" xfId="0" applyNumberFormat="1" applyFont="1" applyFill="1" applyBorder="1" applyAlignment="1">
      <alignment horizontal="right" wrapText="1"/>
    </xf>
    <xf numFmtId="3" fontId="1" fillId="3" borderId="2" xfId="0" applyNumberFormat="1" applyFont="1" applyFill="1" applyBorder="1"/>
    <xf numFmtId="3" fontId="0" fillId="3" borderId="2" xfId="0" applyNumberFormat="1" applyFill="1" applyBorder="1"/>
    <xf numFmtId="3" fontId="0" fillId="3" borderId="14" xfId="0" applyNumberFormat="1" applyFill="1" applyBorder="1"/>
    <xf numFmtId="3" fontId="1" fillId="4" borderId="3" xfId="0" applyNumberFormat="1" applyFont="1" applyFill="1" applyBorder="1" applyAlignment="1">
      <alignment horizontal="right" wrapText="1"/>
    </xf>
    <xf numFmtId="3" fontId="1" fillId="4" borderId="3" xfId="0" applyNumberFormat="1" applyFont="1" applyFill="1" applyBorder="1"/>
    <xf numFmtId="3" fontId="0" fillId="4" borderId="3" xfId="0" applyNumberFormat="1" applyFill="1" applyBorder="1"/>
    <xf numFmtId="3" fontId="0" fillId="4" borderId="15" xfId="0" applyNumberFormat="1" applyFill="1" applyBorder="1"/>
    <xf numFmtId="3" fontId="0" fillId="0" borderId="2" xfId="0" applyNumberFormat="1" applyFont="1" applyBorder="1"/>
    <xf numFmtId="3" fontId="0" fillId="0" borderId="3" xfId="0" applyNumberFormat="1" applyFont="1" applyBorder="1"/>
    <xf numFmtId="3" fontId="1" fillId="0" borderId="5" xfId="0" applyNumberFormat="1" applyFont="1" applyBorder="1" applyAlignment="1">
      <alignment horizontal="center"/>
    </xf>
    <xf numFmtId="3" fontId="1" fillId="0" borderId="6" xfId="0" applyNumberFormat="1" applyFont="1" applyBorder="1" applyAlignment="1">
      <alignment horizontal="center"/>
    </xf>
    <xf numFmtId="3" fontId="1" fillId="0" borderId="7" xfId="0" applyNumberFormat="1" applyFont="1" applyBorder="1" applyAlignment="1">
      <alignment horizontal="center"/>
    </xf>
    <xf numFmtId="3" fontId="1" fillId="0" borderId="11" xfId="0" applyNumberFormat="1" applyFont="1" applyBorder="1" applyAlignment="1">
      <alignment horizontal="center"/>
    </xf>
    <xf numFmtId="3" fontId="1" fillId="0" borderId="12" xfId="0" applyNumberFormat="1" applyFont="1" applyBorder="1" applyAlignment="1">
      <alignment horizontal="center"/>
    </xf>
    <xf numFmtId="3" fontId="1" fillId="0" borderId="13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8F32A-7B2E-4382-AF72-F28D654BC71F}">
  <dimension ref="A1:P172"/>
  <sheetViews>
    <sheetView tabSelected="1" topLeftCell="A155" workbookViewId="0">
      <selection activeCell="K172" sqref="K172"/>
    </sheetView>
  </sheetViews>
  <sheetFormatPr defaultRowHeight="14.5" x14ac:dyDescent="0.35"/>
  <cols>
    <col min="1" max="1" width="11.08984375" customWidth="1"/>
    <col min="2" max="2" width="5" style="2" customWidth="1"/>
    <col min="3" max="3" width="9.54296875" style="2" customWidth="1"/>
    <col min="4" max="4" width="10.7265625" style="2" customWidth="1"/>
    <col min="5" max="5" width="5.54296875" style="2" customWidth="1"/>
    <col min="6" max="6" width="8.7265625" style="2"/>
    <col min="7" max="7" width="9.81640625" style="2" customWidth="1"/>
    <col min="8" max="8" width="9.90625" style="2" customWidth="1"/>
    <col min="9" max="9" width="6.453125" style="2" customWidth="1"/>
    <col min="10" max="10" width="7.26953125" style="2" customWidth="1"/>
    <col min="11" max="11" width="11.7265625" style="2" customWidth="1"/>
    <col min="12" max="12" width="10" style="2" customWidth="1"/>
    <col min="13" max="14" width="8.90625" style="2" bestFit="1" customWidth="1"/>
    <col min="15" max="15" width="9.81640625" style="2" customWidth="1"/>
    <col min="16" max="16" width="8.7265625" style="2"/>
  </cols>
  <sheetData>
    <row r="1" spans="1:16" x14ac:dyDescent="0.3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6" x14ac:dyDescent="0.35">
      <c r="A2" s="8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6" ht="15" thickBot="1" x14ac:dyDescent="0.4">
      <c r="A3" s="6" t="s">
        <v>1</v>
      </c>
      <c r="B3" s="13"/>
      <c r="C3" s="13"/>
      <c r="D3" s="13"/>
      <c r="E3" s="13"/>
      <c r="F3" s="13"/>
      <c r="G3" s="13"/>
      <c r="H3" s="7"/>
      <c r="I3" s="7"/>
      <c r="J3" s="7"/>
      <c r="K3" s="7"/>
      <c r="L3" s="7"/>
      <c r="M3" s="13"/>
      <c r="N3" s="13"/>
      <c r="O3" s="13"/>
    </row>
    <row r="4" spans="1:16" ht="15" thickBot="1" x14ac:dyDescent="0.4">
      <c r="A4" s="11"/>
      <c r="B4" s="55" t="s">
        <v>18</v>
      </c>
      <c r="C4" s="56"/>
      <c r="D4" s="56"/>
      <c r="E4" s="56"/>
      <c r="F4" s="56"/>
      <c r="G4" s="57"/>
      <c r="H4" s="25"/>
      <c r="I4" s="13"/>
      <c r="J4" s="13"/>
      <c r="K4" s="13"/>
      <c r="L4" s="22"/>
      <c r="M4" s="52" t="s">
        <v>16</v>
      </c>
      <c r="N4" s="53"/>
      <c r="O4" s="54"/>
    </row>
    <row r="5" spans="1:16" s="1" customFormat="1" x14ac:dyDescent="0.35">
      <c r="A5" s="11"/>
      <c r="B5" s="52" t="s">
        <v>3</v>
      </c>
      <c r="C5" s="53"/>
      <c r="D5" s="54"/>
      <c r="E5" s="52" t="s">
        <v>7</v>
      </c>
      <c r="F5" s="53"/>
      <c r="G5" s="54"/>
      <c r="H5" s="17"/>
      <c r="I5" s="52" t="s">
        <v>15</v>
      </c>
      <c r="J5" s="53"/>
      <c r="K5" s="54"/>
      <c r="L5" s="17"/>
      <c r="M5" s="23">
        <v>0.3</v>
      </c>
      <c r="N5" s="9">
        <v>0.7</v>
      </c>
      <c r="O5" s="24"/>
      <c r="P5" s="3"/>
    </row>
    <row r="6" spans="1:16" s="1" customFormat="1" ht="43.5" x14ac:dyDescent="0.35">
      <c r="A6" s="11" t="s">
        <v>2</v>
      </c>
      <c r="B6" s="14" t="s">
        <v>4</v>
      </c>
      <c r="C6" s="10" t="s">
        <v>6</v>
      </c>
      <c r="D6" s="15" t="s">
        <v>5</v>
      </c>
      <c r="E6" s="14" t="s">
        <v>4</v>
      </c>
      <c r="F6" s="10" t="s">
        <v>8</v>
      </c>
      <c r="G6" s="15" t="s">
        <v>5</v>
      </c>
      <c r="H6" s="18" t="s">
        <v>9</v>
      </c>
      <c r="I6" s="20" t="s">
        <v>4</v>
      </c>
      <c r="J6" s="10" t="s">
        <v>17</v>
      </c>
      <c r="K6" s="21" t="s">
        <v>10</v>
      </c>
      <c r="L6" s="36" t="s">
        <v>11</v>
      </c>
      <c r="M6" s="42" t="s">
        <v>12</v>
      </c>
      <c r="N6" s="46" t="s">
        <v>13</v>
      </c>
      <c r="O6" s="38" t="s">
        <v>14</v>
      </c>
      <c r="P6" s="3"/>
    </row>
    <row r="7" spans="1:16" x14ac:dyDescent="0.35">
      <c r="A7" s="4"/>
      <c r="B7" s="5"/>
      <c r="C7" s="7"/>
      <c r="D7" s="16"/>
      <c r="E7" s="5"/>
      <c r="F7" s="7"/>
      <c r="G7" s="16"/>
      <c r="H7" s="19"/>
      <c r="I7" s="5"/>
      <c r="J7" s="7"/>
      <c r="K7" s="16"/>
      <c r="L7" s="37"/>
      <c r="M7" s="44"/>
      <c r="N7" s="48"/>
      <c r="O7" s="40"/>
    </row>
    <row r="8" spans="1:16" x14ac:dyDescent="0.35">
      <c r="A8" s="4"/>
      <c r="B8" s="5"/>
      <c r="C8" s="7"/>
      <c r="D8" s="16"/>
      <c r="E8" s="5"/>
      <c r="F8" s="7"/>
      <c r="G8" s="16"/>
      <c r="H8" s="19"/>
      <c r="I8" s="33" t="s">
        <v>19</v>
      </c>
      <c r="J8" s="27" t="s">
        <v>20</v>
      </c>
      <c r="K8" s="34" t="s">
        <v>10</v>
      </c>
      <c r="L8" s="37"/>
      <c r="M8" s="44"/>
      <c r="N8" s="48"/>
      <c r="O8" s="40"/>
    </row>
    <row r="9" spans="1:16" x14ac:dyDescent="0.35">
      <c r="A9" s="4"/>
      <c r="B9" s="5"/>
      <c r="C9" s="7"/>
      <c r="D9" s="16"/>
      <c r="E9" s="5"/>
      <c r="F9" s="7"/>
      <c r="G9" s="16"/>
      <c r="H9" s="19"/>
      <c r="I9" s="5">
        <v>6</v>
      </c>
      <c r="J9" s="7">
        <v>600</v>
      </c>
      <c r="K9" s="16">
        <f t="shared" ref="K9:K10" si="0">J9*I9</f>
        <v>3600</v>
      </c>
      <c r="L9" s="37"/>
      <c r="M9" s="44"/>
      <c r="N9" s="48"/>
      <c r="O9" s="40"/>
    </row>
    <row r="10" spans="1:16" x14ac:dyDescent="0.35">
      <c r="A10" s="4"/>
      <c r="B10" s="5"/>
      <c r="C10" s="7"/>
      <c r="D10" s="16"/>
      <c r="E10" s="5"/>
      <c r="F10" s="7"/>
      <c r="G10" s="16"/>
      <c r="H10" s="19"/>
      <c r="I10" s="5">
        <v>517</v>
      </c>
      <c r="J10" s="7">
        <v>300</v>
      </c>
      <c r="K10" s="16">
        <f t="shared" si="0"/>
        <v>155100</v>
      </c>
      <c r="L10" s="37"/>
      <c r="M10" s="44"/>
      <c r="N10" s="48"/>
      <c r="O10" s="40"/>
    </row>
    <row r="11" spans="1:16" x14ac:dyDescent="0.35">
      <c r="A11" s="28">
        <v>46204</v>
      </c>
      <c r="B11" s="29">
        <v>2</v>
      </c>
      <c r="C11" s="26">
        <v>10500</v>
      </c>
      <c r="D11" s="24">
        <f t="shared" ref="D11" si="1">C11*B11</f>
        <v>21000</v>
      </c>
      <c r="E11" s="29">
        <v>4</v>
      </c>
      <c r="F11" s="26">
        <v>2000</v>
      </c>
      <c r="G11" s="24">
        <f t="shared" ref="G11" si="2">E11*F11</f>
        <v>8000</v>
      </c>
      <c r="H11" s="17">
        <f t="shared" ref="H11" si="3">G11+D11</f>
        <v>29000</v>
      </c>
      <c r="I11" s="29">
        <f>SUM(I9:I10)</f>
        <v>523</v>
      </c>
      <c r="J11" s="26"/>
      <c r="K11" s="24">
        <f>SUM(K9:K10)</f>
        <v>158700</v>
      </c>
      <c r="L11" s="35">
        <f t="shared" ref="L11" si="4">K11+H11</f>
        <v>187700</v>
      </c>
      <c r="M11" s="43">
        <f>L11*$M$5</f>
        <v>56310</v>
      </c>
      <c r="N11" s="47">
        <f>L11*$N$5</f>
        <v>131390</v>
      </c>
      <c r="O11" s="39">
        <f>SUM(M11:N11)</f>
        <v>187700</v>
      </c>
    </row>
    <row r="12" spans="1:16" x14ac:dyDescent="0.35">
      <c r="A12" s="28"/>
      <c r="B12" s="29"/>
      <c r="C12" s="26"/>
      <c r="D12" s="24"/>
      <c r="E12" s="29"/>
      <c r="F12" s="26"/>
      <c r="G12" s="24"/>
      <c r="H12" s="17"/>
      <c r="I12" s="29"/>
      <c r="J12" s="26"/>
      <c r="K12" s="24"/>
      <c r="L12" s="35"/>
      <c r="M12" s="43"/>
      <c r="N12" s="47"/>
      <c r="O12" s="39"/>
    </row>
    <row r="13" spans="1:16" x14ac:dyDescent="0.35">
      <c r="A13" s="28"/>
      <c r="B13" s="29"/>
      <c r="C13" s="26"/>
      <c r="D13" s="24"/>
      <c r="E13" s="29"/>
      <c r="F13" s="26"/>
      <c r="G13" s="24"/>
      <c r="H13" s="17"/>
      <c r="I13" s="33" t="s">
        <v>19</v>
      </c>
      <c r="J13" s="27" t="s">
        <v>20</v>
      </c>
      <c r="K13" s="34" t="s">
        <v>10</v>
      </c>
      <c r="L13" s="35"/>
      <c r="M13" s="43"/>
      <c r="N13" s="47"/>
      <c r="O13" s="39"/>
    </row>
    <row r="14" spans="1:16" x14ac:dyDescent="0.35">
      <c r="A14" s="28"/>
      <c r="B14" s="29"/>
      <c r="C14" s="26"/>
      <c r="D14" s="24"/>
      <c r="E14" s="29"/>
      <c r="F14" s="26"/>
      <c r="G14" s="24"/>
      <c r="H14" s="17"/>
      <c r="I14" s="5">
        <v>8</v>
      </c>
      <c r="J14" s="7">
        <v>600</v>
      </c>
      <c r="K14" s="16">
        <f t="shared" ref="K14:K16" si="5">J14*I14</f>
        <v>4800</v>
      </c>
      <c r="L14" s="35"/>
      <c r="M14" s="43"/>
      <c r="N14" s="47"/>
      <c r="O14" s="39"/>
    </row>
    <row r="15" spans="1:16" x14ac:dyDescent="0.35">
      <c r="A15" s="28"/>
      <c r="B15" s="29"/>
      <c r="C15" s="26"/>
      <c r="D15" s="24"/>
      <c r="E15" s="29"/>
      <c r="F15" s="26"/>
      <c r="G15" s="24"/>
      <c r="H15" s="17"/>
      <c r="I15" s="5">
        <v>600</v>
      </c>
      <c r="J15" s="7">
        <v>300</v>
      </c>
      <c r="K15" s="16">
        <f t="shared" si="5"/>
        <v>180000</v>
      </c>
      <c r="L15" s="35"/>
      <c r="M15" s="43"/>
      <c r="N15" s="47"/>
      <c r="O15" s="39"/>
    </row>
    <row r="16" spans="1:16" x14ac:dyDescent="0.35">
      <c r="A16" s="28"/>
      <c r="B16" s="29"/>
      <c r="C16" s="26"/>
      <c r="D16" s="24"/>
      <c r="E16" s="29"/>
      <c r="F16" s="26"/>
      <c r="G16" s="24"/>
      <c r="H16" s="17"/>
      <c r="I16" s="50">
        <v>1</v>
      </c>
      <c r="J16" s="51">
        <v>3000</v>
      </c>
      <c r="K16" s="16">
        <f t="shared" si="5"/>
        <v>3000</v>
      </c>
      <c r="L16" s="35"/>
      <c r="M16" s="43"/>
      <c r="N16" s="47"/>
      <c r="O16" s="39"/>
    </row>
    <row r="17" spans="1:15" x14ac:dyDescent="0.35">
      <c r="A17" s="28">
        <v>46205</v>
      </c>
      <c r="B17" s="29">
        <v>4</v>
      </c>
      <c r="C17" s="26">
        <v>10500</v>
      </c>
      <c r="D17" s="24">
        <f t="shared" ref="D17" si="6">C17*B17</f>
        <v>42000</v>
      </c>
      <c r="E17" s="29">
        <v>4</v>
      </c>
      <c r="F17" s="26">
        <v>2000</v>
      </c>
      <c r="G17" s="24">
        <f t="shared" ref="G17" si="7">E17*F17</f>
        <v>8000</v>
      </c>
      <c r="H17" s="17">
        <f t="shared" ref="H17" si="8">G17+D17</f>
        <v>50000</v>
      </c>
      <c r="I17" s="29">
        <f>SUM(I14:I16)</f>
        <v>609</v>
      </c>
      <c r="J17" s="26"/>
      <c r="K17" s="24">
        <f>SUM(K14:K16)</f>
        <v>187800</v>
      </c>
      <c r="L17" s="35">
        <f t="shared" ref="L17" si="9">K17+H17</f>
        <v>237800</v>
      </c>
      <c r="M17" s="43">
        <f>L17*$M$5</f>
        <v>71340</v>
      </c>
      <c r="N17" s="47">
        <f>L17*$N$5</f>
        <v>166460</v>
      </c>
      <c r="O17" s="39">
        <f>SUM(M17:N17)</f>
        <v>237800</v>
      </c>
    </row>
    <row r="18" spans="1:15" x14ac:dyDescent="0.35">
      <c r="A18" s="28"/>
      <c r="B18" s="29"/>
      <c r="C18" s="26"/>
      <c r="D18" s="24"/>
      <c r="E18" s="29"/>
      <c r="F18" s="26"/>
      <c r="G18" s="24"/>
      <c r="H18" s="17"/>
      <c r="I18" s="29"/>
      <c r="J18" s="26"/>
      <c r="K18" s="24"/>
      <c r="L18" s="35"/>
      <c r="M18" s="43"/>
      <c r="N18" s="47"/>
      <c r="O18" s="39"/>
    </row>
    <row r="19" spans="1:15" x14ac:dyDescent="0.35">
      <c r="A19" s="28"/>
      <c r="B19" s="29"/>
      <c r="C19" s="26"/>
      <c r="D19" s="24"/>
      <c r="E19" s="29"/>
      <c r="F19" s="26"/>
      <c r="G19" s="24"/>
      <c r="H19" s="17"/>
      <c r="I19" s="33" t="s">
        <v>19</v>
      </c>
      <c r="J19" s="27" t="s">
        <v>20</v>
      </c>
      <c r="K19" s="34" t="s">
        <v>10</v>
      </c>
      <c r="L19" s="35"/>
      <c r="M19" s="43"/>
      <c r="N19" s="47"/>
      <c r="O19" s="39"/>
    </row>
    <row r="20" spans="1:15" x14ac:dyDescent="0.35">
      <c r="A20" s="28"/>
      <c r="B20" s="29"/>
      <c r="C20" s="26"/>
      <c r="D20" s="24"/>
      <c r="E20" s="29"/>
      <c r="F20" s="26"/>
      <c r="G20" s="24"/>
      <c r="H20" s="17"/>
      <c r="I20" s="5">
        <v>9</v>
      </c>
      <c r="J20" s="7">
        <v>600</v>
      </c>
      <c r="K20" s="16">
        <f t="shared" ref="K20:K21" si="10">J20*I20</f>
        <v>5400</v>
      </c>
      <c r="L20" s="35"/>
      <c r="M20" s="43"/>
      <c r="N20" s="47"/>
      <c r="O20" s="39"/>
    </row>
    <row r="21" spans="1:15" x14ac:dyDescent="0.35">
      <c r="A21" s="28"/>
      <c r="B21" s="29"/>
      <c r="C21" s="26"/>
      <c r="D21" s="24"/>
      <c r="E21" s="29"/>
      <c r="F21" s="26"/>
      <c r="G21" s="24"/>
      <c r="H21" s="17"/>
      <c r="I21" s="5">
        <v>1057</v>
      </c>
      <c r="J21" s="7">
        <v>300</v>
      </c>
      <c r="K21" s="16">
        <f t="shared" si="10"/>
        <v>317100</v>
      </c>
      <c r="L21" s="35"/>
      <c r="M21" s="43"/>
      <c r="N21" s="47"/>
      <c r="O21" s="39"/>
    </row>
    <row r="22" spans="1:15" x14ac:dyDescent="0.35">
      <c r="A22" s="28">
        <v>46206</v>
      </c>
      <c r="B22" s="29">
        <v>2</v>
      </c>
      <c r="C22" s="26">
        <v>10500</v>
      </c>
      <c r="D22" s="24">
        <f t="shared" ref="D22" si="11">C22*B22</f>
        <v>21000</v>
      </c>
      <c r="E22" s="29">
        <v>5</v>
      </c>
      <c r="F22" s="26">
        <v>2000</v>
      </c>
      <c r="G22" s="24">
        <f t="shared" ref="G22" si="12">E22*F22</f>
        <v>10000</v>
      </c>
      <c r="H22" s="17">
        <f t="shared" ref="H22" si="13">G22+D22</f>
        <v>31000</v>
      </c>
      <c r="I22" s="29">
        <f>SUM(I19:I21)</f>
        <v>1066</v>
      </c>
      <c r="J22" s="26"/>
      <c r="K22" s="24">
        <f>SUM(K19:K21)</f>
        <v>322500</v>
      </c>
      <c r="L22" s="35">
        <f t="shared" ref="L22" si="14">K22+H22</f>
        <v>353500</v>
      </c>
      <c r="M22" s="43">
        <f>L22*$M$5</f>
        <v>106050</v>
      </c>
      <c r="N22" s="47">
        <f>L22*$N$5</f>
        <v>247449.99999999997</v>
      </c>
      <c r="O22" s="39">
        <f>SUM(M22:N22)</f>
        <v>353500</v>
      </c>
    </row>
    <row r="23" spans="1:15" x14ac:dyDescent="0.35">
      <c r="A23" s="28"/>
      <c r="B23" s="29"/>
      <c r="C23" s="26"/>
      <c r="D23" s="24"/>
      <c r="E23" s="29"/>
      <c r="F23" s="26"/>
      <c r="G23" s="24"/>
      <c r="H23" s="17"/>
      <c r="I23" s="29"/>
      <c r="J23" s="26"/>
      <c r="K23" s="24"/>
      <c r="L23" s="35"/>
      <c r="M23" s="43"/>
      <c r="N23" s="47"/>
      <c r="O23" s="39"/>
    </row>
    <row r="24" spans="1:15" x14ac:dyDescent="0.35">
      <c r="A24" s="28"/>
      <c r="B24" s="29"/>
      <c r="C24" s="26"/>
      <c r="D24" s="24"/>
      <c r="E24" s="29"/>
      <c r="F24" s="26"/>
      <c r="G24" s="24"/>
      <c r="H24" s="17"/>
      <c r="I24" s="33" t="s">
        <v>19</v>
      </c>
      <c r="J24" s="27" t="s">
        <v>20</v>
      </c>
      <c r="K24" s="34" t="s">
        <v>10</v>
      </c>
      <c r="L24" s="35"/>
      <c r="M24" s="43"/>
      <c r="N24" s="47"/>
      <c r="O24" s="39"/>
    </row>
    <row r="25" spans="1:15" x14ac:dyDescent="0.35">
      <c r="A25" s="28"/>
      <c r="B25" s="29"/>
      <c r="C25" s="26"/>
      <c r="D25" s="24"/>
      <c r="E25" s="29"/>
      <c r="F25" s="26"/>
      <c r="G25" s="24"/>
      <c r="H25" s="17"/>
      <c r="I25" s="5">
        <v>8</v>
      </c>
      <c r="J25" s="7">
        <v>600</v>
      </c>
      <c r="K25" s="16">
        <f t="shared" ref="K25:K27" si="15">J25*I25</f>
        <v>4800</v>
      </c>
      <c r="L25" s="35"/>
      <c r="M25" s="43"/>
      <c r="N25" s="47"/>
      <c r="O25" s="39"/>
    </row>
    <row r="26" spans="1:15" x14ac:dyDescent="0.35">
      <c r="A26" s="28"/>
      <c r="B26" s="29"/>
      <c r="C26" s="26"/>
      <c r="D26" s="24"/>
      <c r="E26" s="29"/>
      <c r="F26" s="26"/>
      <c r="G26" s="24"/>
      <c r="H26" s="17"/>
      <c r="I26" s="5">
        <v>612</v>
      </c>
      <c r="J26" s="7">
        <v>300</v>
      </c>
      <c r="K26" s="16">
        <f t="shared" si="15"/>
        <v>183600</v>
      </c>
      <c r="L26" s="35"/>
      <c r="M26" s="43"/>
      <c r="N26" s="47"/>
      <c r="O26" s="39"/>
    </row>
    <row r="27" spans="1:15" x14ac:dyDescent="0.35">
      <c r="A27" s="28"/>
      <c r="B27" s="29"/>
      <c r="C27" s="26"/>
      <c r="D27" s="24"/>
      <c r="E27" s="29"/>
      <c r="F27" s="26"/>
      <c r="G27" s="24"/>
      <c r="H27" s="17"/>
      <c r="I27" s="50">
        <v>1</v>
      </c>
      <c r="J27" s="51">
        <v>3000</v>
      </c>
      <c r="K27" s="16">
        <f t="shared" si="15"/>
        <v>3000</v>
      </c>
      <c r="L27" s="35"/>
      <c r="M27" s="43"/>
      <c r="N27" s="47"/>
      <c r="O27" s="39"/>
    </row>
    <row r="28" spans="1:15" x14ac:dyDescent="0.35">
      <c r="A28" s="28">
        <v>46207</v>
      </c>
      <c r="B28" s="29">
        <v>0</v>
      </c>
      <c r="C28" s="26">
        <v>10500</v>
      </c>
      <c r="D28" s="24">
        <f t="shared" ref="D28" si="16">C28*B28</f>
        <v>0</v>
      </c>
      <c r="E28" s="29">
        <v>2</v>
      </c>
      <c r="F28" s="26">
        <v>2000</v>
      </c>
      <c r="G28" s="24">
        <f t="shared" ref="G28" si="17">E28*F28</f>
        <v>4000</v>
      </c>
      <c r="H28" s="17">
        <f t="shared" ref="H28" si="18">G28+D28</f>
        <v>4000</v>
      </c>
      <c r="I28" s="29">
        <f>SUM(I25:I27)</f>
        <v>621</v>
      </c>
      <c r="J28" s="26"/>
      <c r="K28" s="24">
        <f>SUM(K25:K27)</f>
        <v>191400</v>
      </c>
      <c r="L28" s="35">
        <f t="shared" ref="L28" si="19">K28+H28</f>
        <v>195400</v>
      </c>
      <c r="M28" s="43">
        <f>L28*$M$5</f>
        <v>58620</v>
      </c>
      <c r="N28" s="47">
        <f>L28*$N$5</f>
        <v>136780</v>
      </c>
      <c r="O28" s="39">
        <f>SUM(M28:N28)</f>
        <v>195400</v>
      </c>
    </row>
    <row r="29" spans="1:15" x14ac:dyDescent="0.35">
      <c r="A29" s="28"/>
      <c r="B29" s="29"/>
      <c r="C29" s="26"/>
      <c r="D29" s="24"/>
      <c r="E29" s="29"/>
      <c r="F29" s="26"/>
      <c r="G29" s="24"/>
      <c r="H29" s="17"/>
      <c r="I29" s="29"/>
      <c r="J29" s="26"/>
      <c r="K29" s="24"/>
      <c r="L29" s="35"/>
      <c r="M29" s="43"/>
      <c r="N29" s="47"/>
      <c r="O29" s="39"/>
    </row>
    <row r="30" spans="1:15" x14ac:dyDescent="0.35">
      <c r="A30" s="28"/>
      <c r="B30" s="29"/>
      <c r="C30" s="26"/>
      <c r="D30" s="24"/>
      <c r="E30" s="29"/>
      <c r="F30" s="26"/>
      <c r="G30" s="24"/>
      <c r="H30" s="17"/>
      <c r="I30" s="33" t="s">
        <v>19</v>
      </c>
      <c r="J30" s="27" t="s">
        <v>20</v>
      </c>
      <c r="K30" s="34" t="s">
        <v>10</v>
      </c>
      <c r="L30" s="35"/>
      <c r="M30" s="43"/>
      <c r="N30" s="47"/>
      <c r="O30" s="39"/>
    </row>
    <row r="31" spans="1:15" x14ac:dyDescent="0.35">
      <c r="A31" s="28"/>
      <c r="B31" s="29"/>
      <c r="C31" s="26"/>
      <c r="D31" s="24"/>
      <c r="E31" s="29"/>
      <c r="F31" s="26"/>
      <c r="G31" s="24"/>
      <c r="H31" s="17"/>
      <c r="I31" s="5">
        <v>27</v>
      </c>
      <c r="J31" s="7">
        <v>300</v>
      </c>
      <c r="K31" s="16">
        <f t="shared" ref="K31" si="20">J31*I31</f>
        <v>8100</v>
      </c>
      <c r="L31" s="35"/>
      <c r="M31" s="43"/>
      <c r="N31" s="47"/>
      <c r="O31" s="39"/>
    </row>
    <row r="32" spans="1:15" x14ac:dyDescent="0.35">
      <c r="A32" s="28">
        <v>46208</v>
      </c>
      <c r="B32" s="29">
        <v>0</v>
      </c>
      <c r="C32" s="26">
        <v>10500</v>
      </c>
      <c r="D32" s="24">
        <f t="shared" ref="D32" si="21">C32*B32</f>
        <v>0</v>
      </c>
      <c r="E32" s="29">
        <v>0</v>
      </c>
      <c r="F32" s="26">
        <v>2000</v>
      </c>
      <c r="G32" s="24">
        <f t="shared" ref="G32" si="22">E32*F32</f>
        <v>0</v>
      </c>
      <c r="H32" s="17">
        <f t="shared" ref="H32" si="23">G32+D32</f>
        <v>0</v>
      </c>
      <c r="I32" s="29">
        <f>SUM(I29:I31)</f>
        <v>27</v>
      </c>
      <c r="J32" s="26"/>
      <c r="K32" s="24">
        <f>SUM(K29:K31)</f>
        <v>8100</v>
      </c>
      <c r="L32" s="35">
        <f t="shared" ref="L32" si="24">K32+H32</f>
        <v>8100</v>
      </c>
      <c r="M32" s="43">
        <f>L32*$M$5</f>
        <v>2430</v>
      </c>
      <c r="N32" s="47">
        <f>L32*$N$5</f>
        <v>5670</v>
      </c>
      <c r="O32" s="39">
        <f>SUM(M32:N32)</f>
        <v>8100</v>
      </c>
    </row>
    <row r="33" spans="1:15" x14ac:dyDescent="0.35">
      <c r="A33" s="28"/>
      <c r="B33" s="29"/>
      <c r="C33" s="26"/>
      <c r="D33" s="24"/>
      <c r="E33" s="29"/>
      <c r="F33" s="26"/>
      <c r="G33" s="24"/>
      <c r="H33" s="17"/>
      <c r="I33" s="29"/>
      <c r="J33" s="26"/>
      <c r="K33" s="24"/>
      <c r="L33" s="35"/>
      <c r="M33" s="43"/>
      <c r="N33" s="47"/>
      <c r="O33" s="39"/>
    </row>
    <row r="34" spans="1:15" x14ac:dyDescent="0.35">
      <c r="A34" s="28"/>
      <c r="B34" s="29"/>
      <c r="C34" s="26"/>
      <c r="D34" s="24"/>
      <c r="E34" s="29"/>
      <c r="F34" s="26"/>
      <c r="G34" s="24"/>
      <c r="H34" s="17"/>
      <c r="I34" s="33" t="s">
        <v>19</v>
      </c>
      <c r="J34" s="27" t="s">
        <v>20</v>
      </c>
      <c r="K34" s="34" t="s">
        <v>10</v>
      </c>
      <c r="L34" s="35"/>
      <c r="M34" s="43"/>
      <c r="N34" s="47"/>
      <c r="O34" s="39"/>
    </row>
    <row r="35" spans="1:15" x14ac:dyDescent="0.35">
      <c r="A35" s="28"/>
      <c r="B35" s="29"/>
      <c r="C35" s="26"/>
      <c r="D35" s="24"/>
      <c r="E35" s="29"/>
      <c r="F35" s="26"/>
      <c r="G35" s="24"/>
      <c r="H35" s="17"/>
      <c r="I35" s="5">
        <v>7</v>
      </c>
      <c r="J35" s="7">
        <v>600</v>
      </c>
      <c r="K35" s="16">
        <f t="shared" ref="K35:K36" si="25">J35*I35</f>
        <v>4200</v>
      </c>
      <c r="L35" s="35"/>
      <c r="M35" s="43"/>
      <c r="N35" s="47"/>
      <c r="O35" s="39"/>
    </row>
    <row r="36" spans="1:15" x14ac:dyDescent="0.35">
      <c r="A36" s="28"/>
      <c r="B36" s="29"/>
      <c r="C36" s="26"/>
      <c r="D36" s="24"/>
      <c r="E36" s="29"/>
      <c r="F36" s="26"/>
      <c r="G36" s="24"/>
      <c r="H36" s="17"/>
      <c r="I36" s="5">
        <v>615</v>
      </c>
      <c r="J36" s="7">
        <v>300</v>
      </c>
      <c r="K36" s="16">
        <f t="shared" si="25"/>
        <v>184500</v>
      </c>
      <c r="L36" s="35"/>
      <c r="M36" s="43"/>
      <c r="N36" s="47"/>
      <c r="O36" s="39"/>
    </row>
    <row r="37" spans="1:15" x14ac:dyDescent="0.35">
      <c r="A37" s="28">
        <v>46209</v>
      </c>
      <c r="B37" s="29">
        <v>3</v>
      </c>
      <c r="C37" s="26">
        <v>10500</v>
      </c>
      <c r="D37" s="24">
        <f t="shared" ref="D37" si="26">C37*B37</f>
        <v>31500</v>
      </c>
      <c r="E37" s="29">
        <v>0</v>
      </c>
      <c r="F37" s="26">
        <v>2000</v>
      </c>
      <c r="G37" s="24">
        <f t="shared" ref="G37" si="27">E37*F37</f>
        <v>0</v>
      </c>
      <c r="H37" s="17">
        <f t="shared" ref="H37" si="28">G37+D37</f>
        <v>31500</v>
      </c>
      <c r="I37" s="29">
        <f>SUM(I34:I36)</f>
        <v>622</v>
      </c>
      <c r="J37" s="26"/>
      <c r="K37" s="24">
        <f>SUM(K34:K36)</f>
        <v>188700</v>
      </c>
      <c r="L37" s="35">
        <f t="shared" ref="L37" si="29">K37+H37</f>
        <v>220200</v>
      </c>
      <c r="M37" s="43">
        <f>L37*$M$5</f>
        <v>66060</v>
      </c>
      <c r="N37" s="47">
        <f>L37*$N$5</f>
        <v>154140</v>
      </c>
      <c r="O37" s="39">
        <f>SUM(M37:N37)</f>
        <v>220200</v>
      </c>
    </row>
    <row r="38" spans="1:15" x14ac:dyDescent="0.35">
      <c r="A38" s="28"/>
      <c r="B38" s="29"/>
      <c r="C38" s="26"/>
      <c r="D38" s="24"/>
      <c r="E38" s="29"/>
      <c r="F38" s="26"/>
      <c r="G38" s="24"/>
      <c r="H38" s="17"/>
      <c r="I38" s="29"/>
      <c r="J38" s="26"/>
      <c r="K38" s="24"/>
      <c r="L38" s="35"/>
      <c r="M38" s="43"/>
      <c r="N38" s="47"/>
      <c r="O38" s="39"/>
    </row>
    <row r="39" spans="1:15" x14ac:dyDescent="0.35">
      <c r="A39" s="28"/>
      <c r="B39" s="29"/>
      <c r="C39" s="26"/>
      <c r="D39" s="24"/>
      <c r="E39" s="29"/>
      <c r="F39" s="26"/>
      <c r="G39" s="24"/>
      <c r="H39" s="17"/>
      <c r="I39" s="33" t="s">
        <v>19</v>
      </c>
      <c r="J39" s="27" t="s">
        <v>20</v>
      </c>
      <c r="K39" s="34" t="s">
        <v>10</v>
      </c>
      <c r="L39" s="35"/>
      <c r="M39" s="43"/>
      <c r="N39" s="47"/>
      <c r="O39" s="39"/>
    </row>
    <row r="40" spans="1:15" x14ac:dyDescent="0.35">
      <c r="A40" s="28"/>
      <c r="B40" s="29"/>
      <c r="C40" s="26"/>
      <c r="D40" s="24"/>
      <c r="E40" s="29"/>
      <c r="F40" s="26"/>
      <c r="G40" s="24"/>
      <c r="H40" s="17"/>
      <c r="I40" s="5">
        <v>8</v>
      </c>
      <c r="J40" s="7">
        <v>600</v>
      </c>
      <c r="K40" s="16">
        <f t="shared" ref="K40:K41" si="30">J40*I40</f>
        <v>4800</v>
      </c>
      <c r="L40" s="35"/>
      <c r="M40" s="43"/>
      <c r="N40" s="47"/>
      <c r="O40" s="39"/>
    </row>
    <row r="41" spans="1:15" x14ac:dyDescent="0.35">
      <c r="A41" s="28"/>
      <c r="B41" s="29"/>
      <c r="C41" s="26"/>
      <c r="D41" s="24"/>
      <c r="E41" s="29"/>
      <c r="F41" s="26"/>
      <c r="G41" s="24"/>
      <c r="H41" s="17"/>
      <c r="I41" s="5">
        <v>489</v>
      </c>
      <c r="J41" s="7">
        <v>300</v>
      </c>
      <c r="K41" s="16">
        <f t="shared" si="30"/>
        <v>146700</v>
      </c>
      <c r="L41" s="35"/>
      <c r="M41" s="43"/>
      <c r="N41" s="47"/>
      <c r="O41" s="39"/>
    </row>
    <row r="42" spans="1:15" x14ac:dyDescent="0.35">
      <c r="A42" s="28">
        <v>46210</v>
      </c>
      <c r="B42" s="29">
        <v>3</v>
      </c>
      <c r="C42" s="26">
        <v>10500</v>
      </c>
      <c r="D42" s="24">
        <f t="shared" ref="D42" si="31">C42*B42</f>
        <v>31500</v>
      </c>
      <c r="E42" s="29">
        <v>3</v>
      </c>
      <c r="F42" s="26">
        <v>2000</v>
      </c>
      <c r="G42" s="24">
        <f t="shared" ref="G42" si="32">E42*F42</f>
        <v>6000</v>
      </c>
      <c r="H42" s="17">
        <f t="shared" ref="H42" si="33">G42+D42</f>
        <v>37500</v>
      </c>
      <c r="I42" s="29">
        <f>SUM(I39:I41)</f>
        <v>497</v>
      </c>
      <c r="J42" s="26"/>
      <c r="K42" s="24">
        <f>SUM(K39:K41)</f>
        <v>151500</v>
      </c>
      <c r="L42" s="35">
        <f t="shared" ref="L42" si="34">K42+H42</f>
        <v>189000</v>
      </c>
      <c r="M42" s="43">
        <f>L42*$M$5</f>
        <v>56700</v>
      </c>
      <c r="N42" s="47">
        <f>L42*$N$5</f>
        <v>132300</v>
      </c>
      <c r="O42" s="39">
        <f>SUM(M42:N42)</f>
        <v>189000</v>
      </c>
    </row>
    <row r="43" spans="1:15" x14ac:dyDescent="0.35">
      <c r="A43" s="28"/>
      <c r="B43" s="29"/>
      <c r="C43" s="26"/>
      <c r="D43" s="24"/>
      <c r="E43" s="29"/>
      <c r="F43" s="26"/>
      <c r="G43" s="24"/>
      <c r="H43" s="17"/>
      <c r="I43" s="29"/>
      <c r="J43" s="26"/>
      <c r="K43" s="24"/>
      <c r="L43" s="35"/>
      <c r="M43" s="43"/>
      <c r="N43" s="47"/>
      <c r="O43" s="39"/>
    </row>
    <row r="44" spans="1:15" x14ac:dyDescent="0.35">
      <c r="A44" s="28"/>
      <c r="B44" s="29"/>
      <c r="C44" s="26"/>
      <c r="D44" s="24"/>
      <c r="E44" s="29"/>
      <c r="F44" s="26"/>
      <c r="G44" s="24"/>
      <c r="H44" s="17"/>
      <c r="I44" s="33" t="s">
        <v>19</v>
      </c>
      <c r="J44" s="27" t="s">
        <v>20</v>
      </c>
      <c r="K44" s="34" t="s">
        <v>10</v>
      </c>
      <c r="L44" s="35"/>
      <c r="M44" s="43"/>
      <c r="N44" s="47"/>
      <c r="O44" s="39"/>
    </row>
    <row r="45" spans="1:15" x14ac:dyDescent="0.35">
      <c r="A45" s="28"/>
      <c r="B45" s="29"/>
      <c r="C45" s="26"/>
      <c r="D45" s="24"/>
      <c r="E45" s="29"/>
      <c r="F45" s="26"/>
      <c r="G45" s="24"/>
      <c r="H45" s="17"/>
      <c r="I45" s="5">
        <v>5</v>
      </c>
      <c r="J45" s="7">
        <v>600</v>
      </c>
      <c r="K45" s="16">
        <f t="shared" ref="K45:K46" si="35">J45*I45</f>
        <v>3000</v>
      </c>
      <c r="L45" s="35"/>
      <c r="M45" s="43"/>
      <c r="N45" s="47"/>
      <c r="O45" s="39"/>
    </row>
    <row r="46" spans="1:15" x14ac:dyDescent="0.35">
      <c r="A46" s="28"/>
      <c r="B46" s="29"/>
      <c r="C46" s="26"/>
      <c r="D46" s="24"/>
      <c r="E46" s="29"/>
      <c r="F46" s="26"/>
      <c r="G46" s="24"/>
      <c r="H46" s="17"/>
      <c r="I46" s="5">
        <v>489</v>
      </c>
      <c r="J46" s="7">
        <v>300</v>
      </c>
      <c r="K46" s="16">
        <f t="shared" si="35"/>
        <v>146700</v>
      </c>
      <c r="L46" s="35"/>
      <c r="M46" s="43"/>
      <c r="N46" s="47"/>
      <c r="O46" s="39"/>
    </row>
    <row r="47" spans="1:15" x14ac:dyDescent="0.35">
      <c r="A47" s="28">
        <v>46211</v>
      </c>
      <c r="B47" s="29">
        <v>1</v>
      </c>
      <c r="C47" s="26">
        <v>10500</v>
      </c>
      <c r="D47" s="24">
        <f t="shared" ref="D47" si="36">C47*B47</f>
        <v>10500</v>
      </c>
      <c r="E47" s="29">
        <v>3</v>
      </c>
      <c r="F47" s="26">
        <v>2000</v>
      </c>
      <c r="G47" s="24">
        <f t="shared" ref="G47" si="37">E47*F47</f>
        <v>6000</v>
      </c>
      <c r="H47" s="17">
        <f t="shared" ref="H47" si="38">G47+D47</f>
        <v>16500</v>
      </c>
      <c r="I47" s="29">
        <f>SUM(I44:I46)</f>
        <v>494</v>
      </c>
      <c r="J47" s="26"/>
      <c r="K47" s="24">
        <f>SUM(K44:K46)</f>
        <v>149700</v>
      </c>
      <c r="L47" s="35">
        <f t="shared" ref="L47" si="39">K47+H47</f>
        <v>166200</v>
      </c>
      <c r="M47" s="43">
        <f>L47*$M$5</f>
        <v>49860</v>
      </c>
      <c r="N47" s="47">
        <f>L47*$N$5</f>
        <v>116339.99999999999</v>
      </c>
      <c r="O47" s="39">
        <f>SUM(M47:N47)</f>
        <v>166200</v>
      </c>
    </row>
    <row r="48" spans="1:15" x14ac:dyDescent="0.35">
      <c r="A48" s="28"/>
      <c r="B48" s="29"/>
      <c r="C48" s="26"/>
      <c r="D48" s="24"/>
      <c r="E48" s="29"/>
      <c r="F48" s="26"/>
      <c r="G48" s="24"/>
      <c r="H48" s="17"/>
      <c r="I48" s="29"/>
      <c r="J48" s="26"/>
      <c r="K48" s="24"/>
      <c r="L48" s="35"/>
      <c r="M48" s="43"/>
      <c r="N48" s="47"/>
      <c r="O48" s="39"/>
    </row>
    <row r="49" spans="1:15" x14ac:dyDescent="0.35">
      <c r="A49" s="28"/>
      <c r="B49" s="29"/>
      <c r="C49" s="26"/>
      <c r="D49" s="24"/>
      <c r="E49" s="29"/>
      <c r="F49" s="26"/>
      <c r="G49" s="24"/>
      <c r="H49" s="17"/>
      <c r="I49" s="33" t="s">
        <v>19</v>
      </c>
      <c r="J49" s="27" t="s">
        <v>20</v>
      </c>
      <c r="K49" s="34" t="s">
        <v>10</v>
      </c>
      <c r="L49" s="35"/>
      <c r="M49" s="43"/>
      <c r="N49" s="47"/>
      <c r="O49" s="39"/>
    </row>
    <row r="50" spans="1:15" x14ac:dyDescent="0.35">
      <c r="A50" s="28"/>
      <c r="B50" s="29"/>
      <c r="C50" s="26"/>
      <c r="D50" s="24"/>
      <c r="E50" s="29"/>
      <c r="F50" s="26"/>
      <c r="G50" s="24"/>
      <c r="H50" s="17"/>
      <c r="I50" s="5">
        <v>2</v>
      </c>
      <c r="J50" s="7">
        <v>600</v>
      </c>
      <c r="K50" s="16">
        <f t="shared" ref="K50:K51" si="40">J50*I50</f>
        <v>1200</v>
      </c>
      <c r="L50" s="35"/>
      <c r="M50" s="43"/>
      <c r="N50" s="47"/>
      <c r="O50" s="39"/>
    </row>
    <row r="51" spans="1:15" x14ac:dyDescent="0.35">
      <c r="A51" s="28"/>
      <c r="B51" s="29"/>
      <c r="C51" s="26"/>
      <c r="D51" s="24"/>
      <c r="E51" s="29"/>
      <c r="F51" s="26"/>
      <c r="G51" s="24"/>
      <c r="H51" s="17"/>
      <c r="I51" s="5">
        <v>532</v>
      </c>
      <c r="J51" s="7">
        <v>300</v>
      </c>
      <c r="K51" s="16">
        <f t="shared" si="40"/>
        <v>159600</v>
      </c>
      <c r="L51" s="35"/>
      <c r="M51" s="43"/>
      <c r="N51" s="47"/>
      <c r="O51" s="39"/>
    </row>
    <row r="52" spans="1:15" x14ac:dyDescent="0.35">
      <c r="A52" s="28">
        <v>46212</v>
      </c>
      <c r="B52" s="29">
        <v>0</v>
      </c>
      <c r="C52" s="26">
        <v>10500</v>
      </c>
      <c r="D52" s="24">
        <f t="shared" ref="D52" si="41">C52*B52</f>
        <v>0</v>
      </c>
      <c r="E52" s="29">
        <v>2</v>
      </c>
      <c r="F52" s="26">
        <v>2000</v>
      </c>
      <c r="G52" s="24">
        <f t="shared" ref="G52" si="42">E52*F52</f>
        <v>4000</v>
      </c>
      <c r="H52" s="17">
        <f t="shared" ref="H52" si="43">G52+D52</f>
        <v>4000</v>
      </c>
      <c r="I52" s="29">
        <f>SUM(I49:I51)</f>
        <v>534</v>
      </c>
      <c r="J52" s="26"/>
      <c r="K52" s="24">
        <f>SUM(K49:K51)</f>
        <v>160800</v>
      </c>
      <c r="L52" s="35">
        <f t="shared" ref="L52" si="44">K52+H52</f>
        <v>164800</v>
      </c>
      <c r="M52" s="43">
        <f>L52*$M$5</f>
        <v>49440</v>
      </c>
      <c r="N52" s="47">
        <f>L52*$N$5</f>
        <v>115359.99999999999</v>
      </c>
      <c r="O52" s="39">
        <f>SUM(M52:N52)</f>
        <v>164800</v>
      </c>
    </row>
    <row r="53" spans="1:15" x14ac:dyDescent="0.35">
      <c r="A53" s="28"/>
      <c r="B53" s="29"/>
      <c r="C53" s="26"/>
      <c r="D53" s="24"/>
      <c r="E53" s="29"/>
      <c r="F53" s="26"/>
      <c r="G53" s="24"/>
      <c r="H53" s="17"/>
      <c r="I53" s="29"/>
      <c r="J53" s="26"/>
      <c r="K53" s="24"/>
      <c r="L53" s="35"/>
      <c r="M53" s="43"/>
      <c r="N53" s="47"/>
      <c r="O53" s="39"/>
    </row>
    <row r="54" spans="1:15" x14ac:dyDescent="0.35">
      <c r="A54" s="28"/>
      <c r="B54" s="29"/>
      <c r="C54" s="26"/>
      <c r="D54" s="24"/>
      <c r="E54" s="29"/>
      <c r="F54" s="26"/>
      <c r="G54" s="24"/>
      <c r="H54" s="17"/>
      <c r="I54" s="33" t="s">
        <v>19</v>
      </c>
      <c r="J54" s="27" t="s">
        <v>20</v>
      </c>
      <c r="K54" s="34" t="s">
        <v>10</v>
      </c>
      <c r="L54" s="35"/>
      <c r="M54" s="43"/>
      <c r="N54" s="47"/>
      <c r="O54" s="39"/>
    </row>
    <row r="55" spans="1:15" x14ac:dyDescent="0.35">
      <c r="A55" s="28"/>
      <c r="B55" s="29"/>
      <c r="C55" s="26"/>
      <c r="D55" s="24"/>
      <c r="E55" s="29"/>
      <c r="F55" s="26"/>
      <c r="G55" s="24"/>
      <c r="H55" s="17"/>
      <c r="I55" s="5">
        <v>11</v>
      </c>
      <c r="J55" s="7">
        <v>600</v>
      </c>
      <c r="K55" s="16">
        <f t="shared" ref="K55:K56" si="45">J55*I55</f>
        <v>6600</v>
      </c>
      <c r="L55" s="35"/>
      <c r="M55" s="43"/>
      <c r="N55" s="47"/>
      <c r="O55" s="39"/>
    </row>
    <row r="56" spans="1:15" x14ac:dyDescent="0.35">
      <c r="A56" s="28"/>
      <c r="B56" s="29"/>
      <c r="C56" s="26"/>
      <c r="D56" s="24"/>
      <c r="E56" s="29"/>
      <c r="F56" s="26"/>
      <c r="G56" s="24"/>
      <c r="H56" s="17"/>
      <c r="I56" s="5">
        <v>950</v>
      </c>
      <c r="J56" s="7">
        <v>300</v>
      </c>
      <c r="K56" s="16">
        <f t="shared" si="45"/>
        <v>285000</v>
      </c>
      <c r="L56" s="35"/>
      <c r="M56" s="43"/>
      <c r="N56" s="47"/>
      <c r="O56" s="39"/>
    </row>
    <row r="57" spans="1:15" x14ac:dyDescent="0.35">
      <c r="A57" s="28">
        <v>46213</v>
      </c>
      <c r="B57" s="29">
        <v>0</v>
      </c>
      <c r="C57" s="26">
        <v>10500</v>
      </c>
      <c r="D57" s="24">
        <f t="shared" ref="D57" si="46">C57*B57</f>
        <v>0</v>
      </c>
      <c r="E57" s="29">
        <v>0</v>
      </c>
      <c r="F57" s="26">
        <v>2000</v>
      </c>
      <c r="G57" s="24">
        <f t="shared" ref="G57" si="47">E57*F57</f>
        <v>0</v>
      </c>
      <c r="H57" s="17">
        <f t="shared" ref="H57" si="48">G57+D57</f>
        <v>0</v>
      </c>
      <c r="I57" s="29">
        <f>SUM(I54:I56)</f>
        <v>961</v>
      </c>
      <c r="J57" s="26"/>
      <c r="K57" s="24">
        <f>SUM(K54:K56)</f>
        <v>291600</v>
      </c>
      <c r="L57" s="35">
        <f t="shared" ref="L57" si="49">K57+H57</f>
        <v>291600</v>
      </c>
      <c r="M57" s="43">
        <f>L57*$M$5</f>
        <v>87480</v>
      </c>
      <c r="N57" s="47">
        <f>L57*$N$5</f>
        <v>204120</v>
      </c>
      <c r="O57" s="39">
        <f>SUM(M57:N57)</f>
        <v>291600</v>
      </c>
    </row>
    <row r="58" spans="1:15" x14ac:dyDescent="0.35">
      <c r="A58" s="28"/>
      <c r="B58" s="29"/>
      <c r="C58" s="26"/>
      <c r="D58" s="24"/>
      <c r="E58" s="29"/>
      <c r="F58" s="26"/>
      <c r="G58" s="24"/>
      <c r="H58" s="17"/>
      <c r="I58" s="29"/>
      <c r="J58" s="26"/>
      <c r="K58" s="24"/>
      <c r="L58" s="35"/>
      <c r="M58" s="43"/>
      <c r="N58" s="47"/>
      <c r="O58" s="39"/>
    </row>
    <row r="59" spans="1:15" x14ac:dyDescent="0.35">
      <c r="A59" s="28"/>
      <c r="B59" s="29"/>
      <c r="C59" s="26"/>
      <c r="D59" s="24"/>
      <c r="E59" s="29"/>
      <c r="F59" s="26"/>
      <c r="G59" s="24"/>
      <c r="H59" s="17"/>
      <c r="I59" s="33" t="s">
        <v>19</v>
      </c>
      <c r="J59" s="27" t="s">
        <v>20</v>
      </c>
      <c r="K59" s="34" t="s">
        <v>10</v>
      </c>
      <c r="L59" s="35"/>
      <c r="M59" s="43"/>
      <c r="N59" s="47"/>
      <c r="O59" s="39"/>
    </row>
    <row r="60" spans="1:15" x14ac:dyDescent="0.35">
      <c r="A60" s="28"/>
      <c r="B60" s="29"/>
      <c r="C60" s="26"/>
      <c r="D60" s="24"/>
      <c r="E60" s="29"/>
      <c r="F60" s="26"/>
      <c r="G60" s="24"/>
      <c r="H60" s="17"/>
      <c r="I60" s="5">
        <v>7</v>
      </c>
      <c r="J60" s="7">
        <v>600</v>
      </c>
      <c r="K60" s="16">
        <f t="shared" ref="K60:K62" si="50">J60*I60</f>
        <v>4200</v>
      </c>
      <c r="L60" s="35"/>
      <c r="M60" s="43"/>
      <c r="N60" s="47"/>
      <c r="O60" s="39"/>
    </row>
    <row r="61" spans="1:15" x14ac:dyDescent="0.35">
      <c r="A61" s="28"/>
      <c r="B61" s="29"/>
      <c r="C61" s="26"/>
      <c r="D61" s="24"/>
      <c r="E61" s="29"/>
      <c r="F61" s="26"/>
      <c r="G61" s="24"/>
      <c r="H61" s="17"/>
      <c r="I61" s="5">
        <v>605</v>
      </c>
      <c r="J61" s="7">
        <v>300</v>
      </c>
      <c r="K61" s="16">
        <f t="shared" si="50"/>
        <v>181500</v>
      </c>
      <c r="L61" s="35"/>
      <c r="M61" s="43"/>
      <c r="N61" s="47"/>
      <c r="O61" s="39"/>
    </row>
    <row r="62" spans="1:15" x14ac:dyDescent="0.35">
      <c r="A62" s="28"/>
      <c r="B62" s="29"/>
      <c r="C62" s="26"/>
      <c r="D62" s="24"/>
      <c r="E62" s="29"/>
      <c r="F62" s="26"/>
      <c r="G62" s="24"/>
      <c r="H62" s="17"/>
      <c r="I62" s="50">
        <v>1</v>
      </c>
      <c r="J62" s="51">
        <v>3000</v>
      </c>
      <c r="K62" s="16">
        <f t="shared" si="50"/>
        <v>3000</v>
      </c>
      <c r="L62" s="35"/>
      <c r="M62" s="43"/>
      <c r="N62" s="47"/>
      <c r="O62" s="39"/>
    </row>
    <row r="63" spans="1:15" x14ac:dyDescent="0.35">
      <c r="A63" s="28">
        <v>46214</v>
      </c>
      <c r="B63" s="29">
        <v>0</v>
      </c>
      <c r="C63" s="26">
        <v>10500</v>
      </c>
      <c r="D63" s="24">
        <f t="shared" ref="D63" si="51">C63*B63</f>
        <v>0</v>
      </c>
      <c r="E63" s="29">
        <v>1</v>
      </c>
      <c r="F63" s="26">
        <v>2000</v>
      </c>
      <c r="G63" s="24">
        <f t="shared" ref="G63" si="52">E63*F63</f>
        <v>2000</v>
      </c>
      <c r="H63" s="17">
        <f t="shared" ref="H63" si="53">G63+D63</f>
        <v>2000</v>
      </c>
      <c r="I63" s="29">
        <f>SUM(I60:I62)</f>
        <v>613</v>
      </c>
      <c r="J63" s="26"/>
      <c r="K63" s="24">
        <f>SUM(K60:K62)</f>
        <v>188700</v>
      </c>
      <c r="L63" s="35">
        <f t="shared" ref="L63" si="54">K63+H63</f>
        <v>190700</v>
      </c>
      <c r="M63" s="43">
        <f>L63*$M$5</f>
        <v>57210</v>
      </c>
      <c r="N63" s="47">
        <f>L63*$N$5</f>
        <v>133490</v>
      </c>
      <c r="O63" s="39">
        <f>SUM(M63:N63)</f>
        <v>190700</v>
      </c>
    </row>
    <row r="64" spans="1:15" x14ac:dyDescent="0.35">
      <c r="A64" s="28"/>
      <c r="B64" s="29"/>
      <c r="C64" s="26"/>
      <c r="D64" s="24"/>
      <c r="E64" s="29"/>
      <c r="F64" s="26"/>
      <c r="G64" s="24"/>
      <c r="H64" s="17"/>
      <c r="I64" s="50"/>
      <c r="J64" s="51"/>
      <c r="K64" s="16"/>
      <c r="L64" s="35"/>
      <c r="M64" s="43"/>
      <c r="N64" s="47"/>
      <c r="O64" s="39"/>
    </row>
    <row r="65" spans="1:15" x14ac:dyDescent="0.35">
      <c r="A65" s="28"/>
      <c r="B65" s="29"/>
      <c r="C65" s="26"/>
      <c r="D65" s="24"/>
      <c r="E65" s="29"/>
      <c r="F65" s="26"/>
      <c r="G65" s="24"/>
      <c r="H65" s="17"/>
      <c r="I65" s="33" t="s">
        <v>19</v>
      </c>
      <c r="J65" s="27" t="s">
        <v>20</v>
      </c>
      <c r="K65" s="34" t="s">
        <v>10</v>
      </c>
      <c r="L65" s="35"/>
      <c r="M65" s="43"/>
      <c r="N65" s="47"/>
      <c r="O65" s="39"/>
    </row>
    <row r="66" spans="1:15" x14ac:dyDescent="0.35">
      <c r="A66" s="28"/>
      <c r="B66" s="29"/>
      <c r="C66" s="26"/>
      <c r="D66" s="24"/>
      <c r="E66" s="29"/>
      <c r="F66" s="26"/>
      <c r="G66" s="24"/>
      <c r="H66" s="17"/>
      <c r="I66" s="5">
        <v>23</v>
      </c>
      <c r="J66" s="7">
        <v>300</v>
      </c>
      <c r="K66" s="16">
        <f t="shared" ref="K66" si="55">J66*I66</f>
        <v>6900</v>
      </c>
      <c r="L66" s="35"/>
      <c r="M66" s="43"/>
      <c r="N66" s="47"/>
      <c r="O66" s="39"/>
    </row>
    <row r="67" spans="1:15" x14ac:dyDescent="0.35">
      <c r="A67" s="28">
        <v>46215</v>
      </c>
      <c r="B67" s="29">
        <v>0</v>
      </c>
      <c r="C67" s="26">
        <v>10500</v>
      </c>
      <c r="D67" s="24">
        <f t="shared" ref="D67" si="56">C67*B67</f>
        <v>0</v>
      </c>
      <c r="E67" s="29">
        <v>0</v>
      </c>
      <c r="F67" s="26">
        <v>2000</v>
      </c>
      <c r="G67" s="24">
        <f t="shared" ref="G67" si="57">E67*F67</f>
        <v>0</v>
      </c>
      <c r="H67" s="17">
        <f t="shared" ref="H67" si="58">G67+D67</f>
        <v>0</v>
      </c>
      <c r="I67" s="29">
        <f>SUM(I64:I66)</f>
        <v>23</v>
      </c>
      <c r="J67" s="26"/>
      <c r="K67" s="24">
        <f>SUM(K64:K66)</f>
        <v>6900</v>
      </c>
      <c r="L67" s="35">
        <f t="shared" ref="L67" si="59">K67+H67</f>
        <v>6900</v>
      </c>
      <c r="M67" s="43">
        <f>L67*$M$5</f>
        <v>2070</v>
      </c>
      <c r="N67" s="47">
        <f>L67*$N$5</f>
        <v>4830</v>
      </c>
      <c r="O67" s="39">
        <f>SUM(M67:N67)</f>
        <v>6900</v>
      </c>
    </row>
    <row r="68" spans="1:15" x14ac:dyDescent="0.35">
      <c r="A68" s="28"/>
      <c r="B68" s="29"/>
      <c r="C68" s="26"/>
      <c r="D68" s="24"/>
      <c r="E68" s="29"/>
      <c r="F68" s="26"/>
      <c r="G68" s="24"/>
      <c r="H68" s="17"/>
      <c r="I68" s="50"/>
      <c r="J68" s="51"/>
      <c r="K68" s="16"/>
      <c r="L68" s="35"/>
      <c r="M68" s="43"/>
      <c r="N68" s="47"/>
      <c r="O68" s="39"/>
    </row>
    <row r="69" spans="1:15" x14ac:dyDescent="0.35">
      <c r="A69" s="28"/>
      <c r="B69" s="29"/>
      <c r="C69" s="26"/>
      <c r="D69" s="24"/>
      <c r="E69" s="29"/>
      <c r="F69" s="26"/>
      <c r="G69" s="24"/>
      <c r="H69" s="17"/>
      <c r="I69" s="33" t="s">
        <v>19</v>
      </c>
      <c r="J69" s="27" t="s">
        <v>20</v>
      </c>
      <c r="K69" s="34" t="s">
        <v>10</v>
      </c>
      <c r="L69" s="35"/>
      <c r="M69" s="43"/>
      <c r="N69" s="47"/>
      <c r="O69" s="39"/>
    </row>
    <row r="70" spans="1:15" x14ac:dyDescent="0.35">
      <c r="A70" s="28"/>
      <c r="B70" s="29"/>
      <c r="C70" s="26"/>
      <c r="D70" s="24"/>
      <c r="E70" s="29"/>
      <c r="F70" s="26"/>
      <c r="G70" s="24"/>
      <c r="H70" s="17"/>
      <c r="I70" s="5">
        <v>3</v>
      </c>
      <c r="J70" s="7">
        <v>600</v>
      </c>
      <c r="K70" s="16">
        <f t="shared" ref="K70:K72" si="60">J70*I70</f>
        <v>1800</v>
      </c>
      <c r="L70" s="35"/>
      <c r="M70" s="43"/>
      <c r="N70" s="47"/>
      <c r="O70" s="39"/>
    </row>
    <row r="71" spans="1:15" x14ac:dyDescent="0.35">
      <c r="A71" s="28"/>
      <c r="B71" s="29"/>
      <c r="C71" s="26"/>
      <c r="D71" s="24"/>
      <c r="E71" s="29"/>
      <c r="F71" s="26"/>
      <c r="G71" s="24"/>
      <c r="H71" s="17"/>
      <c r="I71" s="5">
        <v>744</v>
      </c>
      <c r="J71" s="7">
        <v>300</v>
      </c>
      <c r="K71" s="16">
        <f t="shared" si="60"/>
        <v>223200</v>
      </c>
      <c r="L71" s="35"/>
      <c r="M71" s="43"/>
      <c r="N71" s="47"/>
      <c r="O71" s="39"/>
    </row>
    <row r="72" spans="1:15" x14ac:dyDescent="0.35">
      <c r="A72" s="28"/>
      <c r="B72" s="29"/>
      <c r="C72" s="26"/>
      <c r="D72" s="24"/>
      <c r="E72" s="29"/>
      <c r="F72" s="26"/>
      <c r="G72" s="24"/>
      <c r="H72" s="17"/>
      <c r="I72" s="50">
        <v>1</v>
      </c>
      <c r="J72" s="51">
        <v>2000</v>
      </c>
      <c r="K72" s="16">
        <f t="shared" si="60"/>
        <v>2000</v>
      </c>
      <c r="L72" s="35"/>
      <c r="M72" s="43"/>
      <c r="N72" s="47"/>
      <c r="O72" s="39"/>
    </row>
    <row r="73" spans="1:15" x14ac:dyDescent="0.35">
      <c r="A73" s="28">
        <v>46216</v>
      </c>
      <c r="B73" s="29">
        <v>0</v>
      </c>
      <c r="C73" s="26">
        <v>10500</v>
      </c>
      <c r="D73" s="24">
        <f t="shared" ref="D73" si="61">C73*B73</f>
        <v>0</v>
      </c>
      <c r="E73" s="29">
        <v>1</v>
      </c>
      <c r="F73" s="26">
        <v>2000</v>
      </c>
      <c r="G73" s="24">
        <f t="shared" ref="G73" si="62">E73*F73</f>
        <v>2000</v>
      </c>
      <c r="H73" s="17">
        <f t="shared" ref="H73" si="63">G73+D73</f>
        <v>2000</v>
      </c>
      <c r="I73" s="29">
        <f>SUM(I70:I72)</f>
        <v>748</v>
      </c>
      <c r="J73" s="26"/>
      <c r="K73" s="24">
        <f>SUM(K70:K72)</f>
        <v>227000</v>
      </c>
      <c r="L73" s="35">
        <f t="shared" ref="L73" si="64">K73+H73</f>
        <v>229000</v>
      </c>
      <c r="M73" s="43">
        <f>L73*$M$5</f>
        <v>68700</v>
      </c>
      <c r="N73" s="47">
        <f>L73*$N$5</f>
        <v>160300</v>
      </c>
      <c r="O73" s="39">
        <f>SUM(M73:N73)</f>
        <v>229000</v>
      </c>
    </row>
    <row r="74" spans="1:15" x14ac:dyDescent="0.35">
      <c r="A74" s="28"/>
      <c r="B74" s="29"/>
      <c r="C74" s="26"/>
      <c r="D74" s="24"/>
      <c r="E74" s="29"/>
      <c r="F74" s="26"/>
      <c r="G74" s="24"/>
      <c r="H74" s="17"/>
      <c r="I74" s="29"/>
      <c r="J74" s="26"/>
      <c r="K74" s="24"/>
      <c r="L74" s="35"/>
      <c r="M74" s="43"/>
      <c r="N74" s="47"/>
      <c r="O74" s="39"/>
    </row>
    <row r="75" spans="1:15" x14ac:dyDescent="0.35">
      <c r="A75" s="28"/>
      <c r="B75" s="29"/>
      <c r="C75" s="26"/>
      <c r="D75" s="24"/>
      <c r="E75" s="29"/>
      <c r="F75" s="26"/>
      <c r="G75" s="24"/>
      <c r="H75" s="17"/>
      <c r="I75" s="33" t="s">
        <v>19</v>
      </c>
      <c r="J75" s="27" t="s">
        <v>20</v>
      </c>
      <c r="K75" s="34" t="s">
        <v>10</v>
      </c>
      <c r="L75" s="35"/>
      <c r="M75" s="43"/>
      <c r="N75" s="47"/>
      <c r="O75" s="39"/>
    </row>
    <row r="76" spans="1:15" x14ac:dyDescent="0.35">
      <c r="A76" s="28"/>
      <c r="B76" s="29"/>
      <c r="C76" s="26"/>
      <c r="D76" s="24"/>
      <c r="E76" s="29"/>
      <c r="F76" s="26"/>
      <c r="G76" s="24"/>
      <c r="H76" s="17"/>
      <c r="I76" s="5">
        <v>7</v>
      </c>
      <c r="J76" s="7">
        <v>600</v>
      </c>
      <c r="K76" s="16">
        <f t="shared" ref="K76:K77" si="65">J76*I76</f>
        <v>4200</v>
      </c>
      <c r="L76" s="35"/>
      <c r="M76" s="43"/>
      <c r="N76" s="47"/>
      <c r="O76" s="39"/>
    </row>
    <row r="77" spans="1:15" x14ac:dyDescent="0.35">
      <c r="A77" s="28"/>
      <c r="B77" s="29"/>
      <c r="C77" s="26"/>
      <c r="D77" s="24"/>
      <c r="E77" s="29"/>
      <c r="F77" s="26"/>
      <c r="G77" s="24"/>
      <c r="H77" s="17"/>
      <c r="I77" s="5">
        <v>486</v>
      </c>
      <c r="J77" s="7">
        <v>300</v>
      </c>
      <c r="K77" s="16">
        <f t="shared" si="65"/>
        <v>145800</v>
      </c>
      <c r="L77" s="35"/>
      <c r="M77" s="43"/>
      <c r="N77" s="47"/>
      <c r="O77" s="39"/>
    </row>
    <row r="78" spans="1:15" x14ac:dyDescent="0.35">
      <c r="A78" s="28">
        <v>46217</v>
      </c>
      <c r="B78" s="29">
        <v>0</v>
      </c>
      <c r="C78" s="26">
        <v>10500</v>
      </c>
      <c r="D78" s="24">
        <f t="shared" ref="D78" si="66">C78*B78</f>
        <v>0</v>
      </c>
      <c r="E78" s="29">
        <v>1</v>
      </c>
      <c r="F78" s="26">
        <v>2000</v>
      </c>
      <c r="G78" s="24">
        <f t="shared" ref="G78" si="67">E78*F78</f>
        <v>2000</v>
      </c>
      <c r="H78" s="17">
        <f t="shared" ref="H78" si="68">G78+D78</f>
        <v>2000</v>
      </c>
      <c r="I78" s="29">
        <f>SUM(I75:I77)</f>
        <v>493</v>
      </c>
      <c r="J78" s="26"/>
      <c r="K78" s="24">
        <f>SUM(K75:K77)</f>
        <v>150000</v>
      </c>
      <c r="L78" s="35">
        <f t="shared" ref="L78" si="69">K78+H78</f>
        <v>152000</v>
      </c>
      <c r="M78" s="43">
        <f>L78*$M$5</f>
        <v>45600</v>
      </c>
      <c r="N78" s="47">
        <f>L78*$N$5</f>
        <v>106400</v>
      </c>
      <c r="O78" s="39">
        <f>SUM(M78:N78)</f>
        <v>152000</v>
      </c>
    </row>
    <row r="79" spans="1:15" x14ac:dyDescent="0.35">
      <c r="A79" s="28"/>
      <c r="B79" s="29"/>
      <c r="C79" s="26"/>
      <c r="D79" s="24"/>
      <c r="E79" s="29"/>
      <c r="F79" s="26"/>
      <c r="G79" s="24"/>
      <c r="H79" s="17"/>
      <c r="I79" s="29"/>
      <c r="J79" s="26"/>
      <c r="K79" s="24"/>
      <c r="L79" s="35"/>
      <c r="M79" s="43"/>
      <c r="N79" s="47"/>
      <c r="O79" s="39"/>
    </row>
    <row r="80" spans="1:15" x14ac:dyDescent="0.35">
      <c r="A80" s="28"/>
      <c r="B80" s="29"/>
      <c r="C80" s="26"/>
      <c r="D80" s="24"/>
      <c r="E80" s="29"/>
      <c r="F80" s="26"/>
      <c r="G80" s="24"/>
      <c r="H80" s="17"/>
      <c r="I80" s="33" t="s">
        <v>19</v>
      </c>
      <c r="J80" s="27" t="s">
        <v>20</v>
      </c>
      <c r="K80" s="34" t="s">
        <v>10</v>
      </c>
      <c r="L80" s="35"/>
      <c r="M80" s="43"/>
      <c r="N80" s="47"/>
      <c r="O80" s="39"/>
    </row>
    <row r="81" spans="1:15" x14ac:dyDescent="0.35">
      <c r="A81" s="28"/>
      <c r="B81" s="29"/>
      <c r="C81" s="26"/>
      <c r="D81" s="24"/>
      <c r="E81" s="29"/>
      <c r="F81" s="26"/>
      <c r="G81" s="24"/>
      <c r="H81" s="17"/>
      <c r="I81" s="5">
        <v>8</v>
      </c>
      <c r="J81" s="7">
        <v>600</v>
      </c>
      <c r="K81" s="16">
        <f t="shared" ref="K81:K82" si="70">J81*I81</f>
        <v>4800</v>
      </c>
      <c r="L81" s="35"/>
      <c r="M81" s="43"/>
      <c r="N81" s="47"/>
      <c r="O81" s="39"/>
    </row>
    <row r="82" spans="1:15" x14ac:dyDescent="0.35">
      <c r="A82" s="28"/>
      <c r="B82" s="29"/>
      <c r="C82" s="26"/>
      <c r="D82" s="24"/>
      <c r="E82" s="29"/>
      <c r="F82" s="26"/>
      <c r="G82" s="24"/>
      <c r="H82" s="17"/>
      <c r="I82" s="5">
        <v>537</v>
      </c>
      <c r="J82" s="7">
        <v>300</v>
      </c>
      <c r="K82" s="16">
        <f t="shared" si="70"/>
        <v>161100</v>
      </c>
      <c r="L82" s="35"/>
      <c r="M82" s="43"/>
      <c r="N82" s="47"/>
      <c r="O82" s="39"/>
    </row>
    <row r="83" spans="1:15" x14ac:dyDescent="0.35">
      <c r="A83" s="28">
        <v>46218</v>
      </c>
      <c r="B83" s="29">
        <v>0</v>
      </c>
      <c r="C83" s="26">
        <v>10500</v>
      </c>
      <c r="D83" s="24">
        <f t="shared" ref="D83" si="71">C83*B83</f>
        <v>0</v>
      </c>
      <c r="E83" s="29">
        <v>1</v>
      </c>
      <c r="F83" s="26">
        <v>2000</v>
      </c>
      <c r="G83" s="24">
        <f t="shared" ref="G83" si="72">E83*F83</f>
        <v>2000</v>
      </c>
      <c r="H83" s="17">
        <f t="shared" ref="H83" si="73">G83+D83</f>
        <v>2000</v>
      </c>
      <c r="I83" s="29">
        <f>SUM(I80:I82)</f>
        <v>545</v>
      </c>
      <c r="J83" s="26"/>
      <c r="K83" s="24">
        <f>SUM(K80:K82)</f>
        <v>165900</v>
      </c>
      <c r="L83" s="35">
        <f t="shared" ref="L83" si="74">K83+H83</f>
        <v>167900</v>
      </c>
      <c r="M83" s="43">
        <f>L83*$M$5</f>
        <v>50370</v>
      </c>
      <c r="N83" s="47">
        <f>L83*$N$5</f>
        <v>117529.99999999999</v>
      </c>
      <c r="O83" s="39">
        <f>SUM(M83:N83)</f>
        <v>167900</v>
      </c>
    </row>
    <row r="84" spans="1:15" x14ac:dyDescent="0.35">
      <c r="A84" s="28"/>
      <c r="B84" s="29"/>
      <c r="C84" s="26"/>
      <c r="D84" s="24"/>
      <c r="E84" s="29"/>
      <c r="F84" s="26"/>
      <c r="G84" s="24"/>
      <c r="H84" s="17"/>
      <c r="I84" s="29"/>
      <c r="J84" s="26"/>
      <c r="K84" s="24"/>
      <c r="L84" s="35"/>
      <c r="M84" s="43"/>
      <c r="N84" s="47"/>
      <c r="O84" s="39"/>
    </row>
    <row r="85" spans="1:15" x14ac:dyDescent="0.35">
      <c r="A85" s="28"/>
      <c r="B85" s="29"/>
      <c r="C85" s="26"/>
      <c r="D85" s="24"/>
      <c r="E85" s="29"/>
      <c r="F85" s="26"/>
      <c r="G85" s="24"/>
      <c r="H85" s="17"/>
      <c r="I85" s="33" t="s">
        <v>19</v>
      </c>
      <c r="J85" s="27" t="s">
        <v>20</v>
      </c>
      <c r="K85" s="34" t="s">
        <v>10</v>
      </c>
      <c r="L85" s="35"/>
      <c r="M85" s="43"/>
      <c r="N85" s="47"/>
      <c r="O85" s="39"/>
    </row>
    <row r="86" spans="1:15" x14ac:dyDescent="0.35">
      <c r="A86" s="28"/>
      <c r="B86" s="29"/>
      <c r="C86" s="26"/>
      <c r="D86" s="24"/>
      <c r="E86" s="29"/>
      <c r="F86" s="26"/>
      <c r="G86" s="24"/>
      <c r="H86" s="17"/>
      <c r="I86" s="5">
        <v>4</v>
      </c>
      <c r="J86" s="7">
        <v>600</v>
      </c>
      <c r="K86" s="16">
        <f t="shared" ref="K86:K87" si="75">J86*I86</f>
        <v>2400</v>
      </c>
      <c r="L86" s="35"/>
      <c r="M86" s="43"/>
      <c r="N86" s="47"/>
      <c r="O86" s="39"/>
    </row>
    <row r="87" spans="1:15" x14ac:dyDescent="0.35">
      <c r="A87" s="28"/>
      <c r="B87" s="29"/>
      <c r="C87" s="26"/>
      <c r="D87" s="24"/>
      <c r="E87" s="29"/>
      <c r="F87" s="26"/>
      <c r="G87" s="24"/>
      <c r="H87" s="17"/>
      <c r="I87" s="5">
        <v>465</v>
      </c>
      <c r="J87" s="7">
        <v>300</v>
      </c>
      <c r="K87" s="16">
        <f t="shared" si="75"/>
        <v>139500</v>
      </c>
      <c r="L87" s="35"/>
      <c r="M87" s="43"/>
      <c r="N87" s="47"/>
      <c r="O87" s="39"/>
    </row>
    <row r="88" spans="1:15" x14ac:dyDescent="0.35">
      <c r="A88" s="28">
        <v>46219</v>
      </c>
      <c r="B88" s="29">
        <v>0</v>
      </c>
      <c r="C88" s="26">
        <v>10500</v>
      </c>
      <c r="D88" s="24">
        <f t="shared" ref="D88" si="76">C88*B88</f>
        <v>0</v>
      </c>
      <c r="E88" s="29">
        <v>1</v>
      </c>
      <c r="F88" s="26">
        <v>2000</v>
      </c>
      <c r="G88" s="24">
        <f t="shared" ref="G88" si="77">E88*F88</f>
        <v>2000</v>
      </c>
      <c r="H88" s="17">
        <f t="shared" ref="H88" si="78">G88+D88</f>
        <v>2000</v>
      </c>
      <c r="I88" s="29">
        <f>SUM(I85:I87)</f>
        <v>469</v>
      </c>
      <c r="J88" s="26"/>
      <c r="K88" s="24">
        <f>SUM(K85:K87)</f>
        <v>141900</v>
      </c>
      <c r="L88" s="35">
        <f t="shared" ref="L88" si="79">K88+H88</f>
        <v>143900</v>
      </c>
      <c r="M88" s="43">
        <f>L88*$M$5</f>
        <v>43170</v>
      </c>
      <c r="N88" s="47">
        <f>L88*$N$5</f>
        <v>100730</v>
      </c>
      <c r="O88" s="39">
        <f>SUM(M88:N88)</f>
        <v>143900</v>
      </c>
    </row>
    <row r="89" spans="1:15" x14ac:dyDescent="0.35">
      <c r="A89" s="28"/>
      <c r="B89" s="29"/>
      <c r="C89" s="26"/>
      <c r="D89" s="24"/>
      <c r="E89" s="29"/>
      <c r="F89" s="26"/>
      <c r="G89" s="24"/>
      <c r="H89" s="17"/>
      <c r="I89" s="29"/>
      <c r="J89" s="26"/>
      <c r="K89" s="24"/>
      <c r="L89" s="35"/>
      <c r="M89" s="43"/>
      <c r="N89" s="47"/>
      <c r="O89" s="39"/>
    </row>
    <row r="90" spans="1:15" x14ac:dyDescent="0.35">
      <c r="A90" s="28"/>
      <c r="B90" s="29"/>
      <c r="C90" s="26"/>
      <c r="D90" s="24"/>
      <c r="E90" s="29"/>
      <c r="F90" s="26"/>
      <c r="G90" s="24"/>
      <c r="H90" s="17"/>
      <c r="I90" s="33" t="s">
        <v>19</v>
      </c>
      <c r="J90" s="27" t="s">
        <v>20</v>
      </c>
      <c r="K90" s="34" t="s">
        <v>10</v>
      </c>
      <c r="L90" s="35"/>
      <c r="M90" s="43"/>
      <c r="N90" s="47"/>
      <c r="O90" s="39"/>
    </row>
    <row r="91" spans="1:15" x14ac:dyDescent="0.35">
      <c r="A91" s="28"/>
      <c r="B91" s="29"/>
      <c r="C91" s="26"/>
      <c r="D91" s="24"/>
      <c r="E91" s="29"/>
      <c r="F91" s="26"/>
      <c r="G91" s="24"/>
      <c r="H91" s="17"/>
      <c r="I91" s="5">
        <v>8</v>
      </c>
      <c r="J91" s="7">
        <v>600</v>
      </c>
      <c r="K91" s="16">
        <f t="shared" ref="K91:K92" si="80">J91*I91</f>
        <v>4800</v>
      </c>
      <c r="L91" s="35"/>
      <c r="M91" s="43"/>
      <c r="N91" s="47"/>
      <c r="O91" s="39"/>
    </row>
    <row r="92" spans="1:15" x14ac:dyDescent="0.35">
      <c r="A92" s="28"/>
      <c r="B92" s="29"/>
      <c r="C92" s="26"/>
      <c r="D92" s="24"/>
      <c r="E92" s="29"/>
      <c r="F92" s="26"/>
      <c r="G92" s="24"/>
      <c r="H92" s="17"/>
      <c r="I92" s="5">
        <v>916</v>
      </c>
      <c r="J92" s="7">
        <v>300</v>
      </c>
      <c r="K92" s="16">
        <f t="shared" si="80"/>
        <v>274800</v>
      </c>
      <c r="L92" s="35"/>
      <c r="M92" s="43"/>
      <c r="N92" s="47"/>
      <c r="O92" s="39"/>
    </row>
    <row r="93" spans="1:15" x14ac:dyDescent="0.35">
      <c r="A93" s="28">
        <v>46220</v>
      </c>
      <c r="B93" s="29">
        <v>0</v>
      </c>
      <c r="C93" s="26">
        <v>10500</v>
      </c>
      <c r="D93" s="24">
        <f t="shared" ref="D93" si="81">C93*B93</f>
        <v>0</v>
      </c>
      <c r="E93" s="29">
        <v>0</v>
      </c>
      <c r="F93" s="26">
        <v>2000</v>
      </c>
      <c r="G93" s="24">
        <f t="shared" ref="G93" si="82">E93*F93</f>
        <v>0</v>
      </c>
      <c r="H93" s="17">
        <f t="shared" ref="H93" si="83">G93+D93</f>
        <v>0</v>
      </c>
      <c r="I93" s="29">
        <f>SUM(I90:I92)</f>
        <v>924</v>
      </c>
      <c r="J93" s="26"/>
      <c r="K93" s="24">
        <f>SUM(K90:K92)</f>
        <v>279600</v>
      </c>
      <c r="L93" s="35">
        <f t="shared" ref="L93" si="84">K93+H93</f>
        <v>279600</v>
      </c>
      <c r="M93" s="43">
        <f>L93*$M$5</f>
        <v>83880</v>
      </c>
      <c r="N93" s="47">
        <f>L93*$N$5</f>
        <v>195720</v>
      </c>
      <c r="O93" s="39">
        <f>SUM(M93:N93)</f>
        <v>279600</v>
      </c>
    </row>
    <row r="94" spans="1:15" x14ac:dyDescent="0.35">
      <c r="A94" s="28"/>
      <c r="B94" s="29"/>
      <c r="C94" s="26"/>
      <c r="D94" s="24"/>
      <c r="E94" s="29"/>
      <c r="F94" s="26"/>
      <c r="G94" s="24"/>
      <c r="H94" s="17"/>
      <c r="I94" s="29"/>
      <c r="J94" s="26"/>
      <c r="K94" s="24"/>
      <c r="L94" s="35"/>
      <c r="M94" s="43"/>
      <c r="N94" s="47"/>
      <c r="O94" s="39"/>
    </row>
    <row r="95" spans="1:15" x14ac:dyDescent="0.35">
      <c r="A95" s="28"/>
      <c r="B95" s="29"/>
      <c r="C95" s="26"/>
      <c r="D95" s="24"/>
      <c r="E95" s="29"/>
      <c r="F95" s="26"/>
      <c r="G95" s="24"/>
      <c r="H95" s="17"/>
      <c r="I95" s="33" t="s">
        <v>19</v>
      </c>
      <c r="J95" s="27" t="s">
        <v>20</v>
      </c>
      <c r="K95" s="34" t="s">
        <v>10</v>
      </c>
      <c r="L95" s="35"/>
      <c r="M95" s="43"/>
      <c r="N95" s="47"/>
      <c r="O95" s="39"/>
    </row>
    <row r="96" spans="1:15" x14ac:dyDescent="0.35">
      <c r="A96" s="28"/>
      <c r="B96" s="29"/>
      <c r="C96" s="26"/>
      <c r="D96" s="24"/>
      <c r="E96" s="29"/>
      <c r="F96" s="26"/>
      <c r="G96" s="24"/>
      <c r="H96" s="17"/>
      <c r="I96" s="5">
        <v>7</v>
      </c>
      <c r="J96" s="7">
        <v>600</v>
      </c>
      <c r="K96" s="16">
        <f t="shared" ref="K96:K97" si="85">J96*I96</f>
        <v>4200</v>
      </c>
      <c r="L96" s="35"/>
      <c r="M96" s="43"/>
      <c r="N96" s="47"/>
      <c r="O96" s="39"/>
    </row>
    <row r="97" spans="1:15" x14ac:dyDescent="0.35">
      <c r="A97" s="28"/>
      <c r="B97" s="29"/>
      <c r="C97" s="26"/>
      <c r="D97" s="24"/>
      <c r="E97" s="29"/>
      <c r="F97" s="26"/>
      <c r="G97" s="24"/>
      <c r="H97" s="17"/>
      <c r="I97" s="5">
        <v>340</v>
      </c>
      <c r="J97" s="7">
        <v>300</v>
      </c>
      <c r="K97" s="16">
        <f t="shared" si="85"/>
        <v>102000</v>
      </c>
      <c r="L97" s="35"/>
      <c r="M97" s="43"/>
      <c r="N97" s="47"/>
      <c r="O97" s="39"/>
    </row>
    <row r="98" spans="1:15" x14ac:dyDescent="0.35">
      <c r="A98" s="28">
        <v>46221</v>
      </c>
      <c r="B98" s="29">
        <v>0</v>
      </c>
      <c r="C98" s="26">
        <v>10500</v>
      </c>
      <c r="D98" s="24">
        <f t="shared" ref="D98" si="86">C98*B98</f>
        <v>0</v>
      </c>
      <c r="E98" s="29">
        <v>0</v>
      </c>
      <c r="F98" s="26">
        <v>2000</v>
      </c>
      <c r="G98" s="24">
        <f t="shared" ref="G98" si="87">E98*F98</f>
        <v>0</v>
      </c>
      <c r="H98" s="17">
        <f t="shared" ref="H98" si="88">G98+D98</f>
        <v>0</v>
      </c>
      <c r="I98" s="29">
        <f>SUM(I95:I97)</f>
        <v>347</v>
      </c>
      <c r="J98" s="26"/>
      <c r="K98" s="24">
        <f>SUM(K95:K97)</f>
        <v>106200</v>
      </c>
      <c r="L98" s="35">
        <f t="shared" ref="L98" si="89">K98+H98</f>
        <v>106200</v>
      </c>
      <c r="M98" s="43">
        <f>L98*$M$5</f>
        <v>31860</v>
      </c>
      <c r="N98" s="47">
        <f>L98*$N$5</f>
        <v>74340</v>
      </c>
      <c r="O98" s="39">
        <f>SUM(M98:N98)</f>
        <v>106200</v>
      </c>
    </row>
    <row r="99" spans="1:15" x14ac:dyDescent="0.35">
      <c r="A99" s="28"/>
      <c r="B99" s="29"/>
      <c r="C99" s="26"/>
      <c r="D99" s="24"/>
      <c r="E99" s="29"/>
      <c r="F99" s="26"/>
      <c r="G99" s="24"/>
      <c r="H99" s="17"/>
      <c r="I99" s="29"/>
      <c r="J99" s="26"/>
      <c r="K99" s="24"/>
      <c r="L99" s="35"/>
      <c r="M99" s="43"/>
      <c r="N99" s="47"/>
      <c r="O99" s="39"/>
    </row>
    <row r="100" spans="1:15" x14ac:dyDescent="0.35">
      <c r="A100" s="28"/>
      <c r="B100" s="29"/>
      <c r="C100" s="26"/>
      <c r="D100" s="24"/>
      <c r="E100" s="29"/>
      <c r="F100" s="26"/>
      <c r="G100" s="24"/>
      <c r="H100" s="17"/>
      <c r="I100" s="33" t="s">
        <v>19</v>
      </c>
      <c r="J100" s="27" t="s">
        <v>20</v>
      </c>
      <c r="K100" s="34" t="s">
        <v>10</v>
      </c>
      <c r="L100" s="35"/>
      <c r="M100" s="43"/>
      <c r="N100" s="47"/>
      <c r="O100" s="39"/>
    </row>
    <row r="101" spans="1:15" x14ac:dyDescent="0.35">
      <c r="A101" s="28"/>
      <c r="B101" s="29"/>
      <c r="C101" s="26"/>
      <c r="D101" s="24"/>
      <c r="E101" s="29"/>
      <c r="F101" s="26"/>
      <c r="G101" s="24"/>
      <c r="H101" s="17"/>
      <c r="I101" s="5">
        <v>1</v>
      </c>
      <c r="J101" s="7">
        <v>600</v>
      </c>
      <c r="K101" s="16">
        <f t="shared" ref="K101:K102" si="90">J101*I101</f>
        <v>600</v>
      </c>
      <c r="L101" s="35"/>
      <c r="M101" s="43"/>
      <c r="N101" s="47"/>
      <c r="O101" s="39"/>
    </row>
    <row r="102" spans="1:15" x14ac:dyDescent="0.35">
      <c r="A102" s="28"/>
      <c r="B102" s="29"/>
      <c r="C102" s="26"/>
      <c r="D102" s="24"/>
      <c r="E102" s="29"/>
      <c r="F102" s="26"/>
      <c r="G102" s="24"/>
      <c r="H102" s="17"/>
      <c r="I102" s="5">
        <v>30</v>
      </c>
      <c r="J102" s="7">
        <v>300</v>
      </c>
      <c r="K102" s="16">
        <f t="shared" si="90"/>
        <v>9000</v>
      </c>
      <c r="L102" s="35"/>
      <c r="M102" s="43"/>
      <c r="N102" s="47"/>
      <c r="O102" s="39"/>
    </row>
    <row r="103" spans="1:15" x14ac:dyDescent="0.35">
      <c r="A103" s="28">
        <v>46222</v>
      </c>
      <c r="B103" s="29">
        <v>0</v>
      </c>
      <c r="C103" s="26">
        <v>10500</v>
      </c>
      <c r="D103" s="24">
        <f t="shared" ref="D103" si="91">C103*B103</f>
        <v>0</v>
      </c>
      <c r="E103" s="29">
        <v>0</v>
      </c>
      <c r="F103" s="26">
        <v>2000</v>
      </c>
      <c r="G103" s="24">
        <f t="shared" ref="G103" si="92">E103*F103</f>
        <v>0</v>
      </c>
      <c r="H103" s="17">
        <f t="shared" ref="H103" si="93">G103+D103</f>
        <v>0</v>
      </c>
      <c r="I103" s="29">
        <f>SUM(I100:I102)</f>
        <v>31</v>
      </c>
      <c r="J103" s="26"/>
      <c r="K103" s="24">
        <f>SUM(K100:K102)</f>
        <v>9600</v>
      </c>
      <c r="L103" s="35">
        <f t="shared" ref="L103" si="94">K103+H103</f>
        <v>9600</v>
      </c>
      <c r="M103" s="43">
        <f>L103*$M$5</f>
        <v>2880</v>
      </c>
      <c r="N103" s="47">
        <f>L103*$N$5</f>
        <v>6720</v>
      </c>
      <c r="O103" s="39">
        <f>SUM(M103:N103)</f>
        <v>9600</v>
      </c>
    </row>
    <row r="104" spans="1:15" x14ac:dyDescent="0.35">
      <c r="A104" s="28"/>
      <c r="B104" s="29"/>
      <c r="C104" s="26"/>
      <c r="D104" s="24"/>
      <c r="E104" s="29"/>
      <c r="F104" s="26"/>
      <c r="G104" s="24"/>
      <c r="H104" s="17"/>
      <c r="I104" s="29"/>
      <c r="J104" s="26"/>
      <c r="K104" s="24"/>
      <c r="L104" s="35"/>
      <c r="M104" s="43"/>
      <c r="N104" s="47"/>
      <c r="O104" s="39"/>
    </row>
    <row r="105" spans="1:15" x14ac:dyDescent="0.35">
      <c r="A105" s="28"/>
      <c r="B105" s="29"/>
      <c r="C105" s="26"/>
      <c r="D105" s="24"/>
      <c r="E105" s="29"/>
      <c r="F105" s="26"/>
      <c r="G105" s="24"/>
      <c r="H105" s="17"/>
      <c r="I105" s="33" t="s">
        <v>19</v>
      </c>
      <c r="J105" s="27" t="s">
        <v>20</v>
      </c>
      <c r="K105" s="34" t="s">
        <v>10</v>
      </c>
      <c r="L105" s="35"/>
      <c r="M105" s="43"/>
      <c r="N105" s="47"/>
      <c r="O105" s="39"/>
    </row>
    <row r="106" spans="1:15" x14ac:dyDescent="0.35">
      <c r="A106" s="28"/>
      <c r="B106" s="29"/>
      <c r="C106" s="26"/>
      <c r="D106" s="24"/>
      <c r="E106" s="29"/>
      <c r="F106" s="26"/>
      <c r="G106" s="24"/>
      <c r="H106" s="17"/>
      <c r="I106" s="5">
        <v>7</v>
      </c>
      <c r="J106" s="7">
        <v>600</v>
      </c>
      <c r="K106" s="16">
        <f t="shared" ref="K106:K107" si="95">J106*I106</f>
        <v>4200</v>
      </c>
      <c r="L106" s="35"/>
      <c r="M106" s="43"/>
      <c r="N106" s="47"/>
      <c r="O106" s="39"/>
    </row>
    <row r="107" spans="1:15" x14ac:dyDescent="0.35">
      <c r="A107" s="28"/>
      <c r="B107" s="29"/>
      <c r="C107" s="26"/>
      <c r="D107" s="24"/>
      <c r="E107" s="29"/>
      <c r="F107" s="26"/>
      <c r="G107" s="24"/>
      <c r="H107" s="17"/>
      <c r="I107" s="5">
        <v>695</v>
      </c>
      <c r="J107" s="7">
        <v>300</v>
      </c>
      <c r="K107" s="16">
        <f t="shared" si="95"/>
        <v>208500</v>
      </c>
      <c r="L107" s="35"/>
      <c r="M107" s="43"/>
      <c r="N107" s="47"/>
      <c r="O107" s="39"/>
    </row>
    <row r="108" spans="1:15" x14ac:dyDescent="0.35">
      <c r="A108" s="28">
        <v>46223</v>
      </c>
      <c r="B108" s="29">
        <v>0</v>
      </c>
      <c r="C108" s="26">
        <v>10500</v>
      </c>
      <c r="D108" s="24">
        <f t="shared" ref="D108" si="96">C108*B108</f>
        <v>0</v>
      </c>
      <c r="E108" s="29">
        <v>1</v>
      </c>
      <c r="F108" s="26">
        <v>2000</v>
      </c>
      <c r="G108" s="24">
        <f t="shared" ref="G108" si="97">E108*F108</f>
        <v>2000</v>
      </c>
      <c r="H108" s="17">
        <f t="shared" ref="H108" si="98">G108+D108</f>
        <v>2000</v>
      </c>
      <c r="I108" s="29">
        <f>SUM(I105:I107)</f>
        <v>702</v>
      </c>
      <c r="J108" s="26"/>
      <c r="K108" s="24">
        <f>SUM(K105:K107)</f>
        <v>212700</v>
      </c>
      <c r="L108" s="35">
        <f t="shared" ref="L108" si="99">K108+H108</f>
        <v>214700</v>
      </c>
      <c r="M108" s="43">
        <f>L108*$M$5</f>
        <v>64410</v>
      </c>
      <c r="N108" s="47">
        <f>L108*$N$5</f>
        <v>150290</v>
      </c>
      <c r="O108" s="39">
        <f>SUM(M108:N108)</f>
        <v>214700</v>
      </c>
    </row>
    <row r="109" spans="1:15" x14ac:dyDescent="0.35">
      <c r="A109" s="28"/>
      <c r="B109" s="29"/>
      <c r="C109" s="26"/>
      <c r="D109" s="24"/>
      <c r="E109" s="29"/>
      <c r="F109" s="26"/>
      <c r="G109" s="24"/>
      <c r="H109" s="17"/>
      <c r="I109" s="29"/>
      <c r="J109" s="26"/>
      <c r="K109" s="24"/>
      <c r="L109" s="35"/>
      <c r="M109" s="43"/>
      <c r="N109" s="47"/>
      <c r="O109" s="39"/>
    </row>
    <row r="110" spans="1:15" x14ac:dyDescent="0.35">
      <c r="A110" s="28"/>
      <c r="B110" s="29"/>
      <c r="C110" s="26"/>
      <c r="D110" s="24"/>
      <c r="E110" s="29"/>
      <c r="F110" s="26"/>
      <c r="G110" s="24"/>
      <c r="H110" s="17"/>
      <c r="I110" s="33" t="s">
        <v>19</v>
      </c>
      <c r="J110" s="27" t="s">
        <v>20</v>
      </c>
      <c r="K110" s="34" t="s">
        <v>10</v>
      </c>
      <c r="L110" s="35"/>
      <c r="M110" s="43"/>
      <c r="N110" s="47"/>
      <c r="O110" s="39"/>
    </row>
    <row r="111" spans="1:15" x14ac:dyDescent="0.35">
      <c r="A111" s="28"/>
      <c r="B111" s="29"/>
      <c r="C111" s="26"/>
      <c r="D111" s="24"/>
      <c r="E111" s="29"/>
      <c r="F111" s="26"/>
      <c r="G111" s="24"/>
      <c r="H111" s="17"/>
      <c r="I111" s="5">
        <v>4</v>
      </c>
      <c r="J111" s="7">
        <v>600</v>
      </c>
      <c r="K111" s="16">
        <f t="shared" ref="K111:K112" si="100">J111*I111</f>
        <v>2400</v>
      </c>
      <c r="L111" s="35"/>
      <c r="M111" s="43"/>
      <c r="N111" s="47"/>
      <c r="O111" s="39"/>
    </row>
    <row r="112" spans="1:15" x14ac:dyDescent="0.35">
      <c r="A112" s="28"/>
      <c r="B112" s="29"/>
      <c r="C112" s="26"/>
      <c r="D112" s="24"/>
      <c r="E112" s="29"/>
      <c r="F112" s="26"/>
      <c r="G112" s="24"/>
      <c r="H112" s="17"/>
      <c r="I112" s="5">
        <v>460</v>
      </c>
      <c r="J112" s="7">
        <v>300</v>
      </c>
      <c r="K112" s="16">
        <f t="shared" si="100"/>
        <v>138000</v>
      </c>
      <c r="L112" s="35"/>
      <c r="M112" s="43"/>
      <c r="N112" s="47"/>
      <c r="O112" s="39"/>
    </row>
    <row r="113" spans="1:15" x14ac:dyDescent="0.35">
      <c r="A113" s="28">
        <v>46224</v>
      </c>
      <c r="B113" s="29">
        <v>0</v>
      </c>
      <c r="C113" s="26">
        <v>10500</v>
      </c>
      <c r="D113" s="24">
        <f t="shared" ref="D113" si="101">C113*B113</f>
        <v>0</v>
      </c>
      <c r="E113" s="29">
        <v>0</v>
      </c>
      <c r="F113" s="26">
        <v>2000</v>
      </c>
      <c r="G113" s="24">
        <f t="shared" ref="G113" si="102">E113*F113</f>
        <v>0</v>
      </c>
      <c r="H113" s="17">
        <f t="shared" ref="H113" si="103">G113+D113</f>
        <v>0</v>
      </c>
      <c r="I113" s="29">
        <f>SUM(I110:I112)</f>
        <v>464</v>
      </c>
      <c r="J113" s="26"/>
      <c r="K113" s="24">
        <f>SUM(K110:K112)</f>
        <v>140400</v>
      </c>
      <c r="L113" s="35">
        <f t="shared" ref="L113" si="104">K113+H113</f>
        <v>140400</v>
      </c>
      <c r="M113" s="43">
        <f>L113*$M$5</f>
        <v>42120</v>
      </c>
      <c r="N113" s="47">
        <f>L113*$N$5</f>
        <v>98280</v>
      </c>
      <c r="O113" s="39">
        <f>SUM(M113:N113)</f>
        <v>140400</v>
      </c>
    </row>
    <row r="114" spans="1:15" x14ac:dyDescent="0.35">
      <c r="A114" s="28"/>
      <c r="B114" s="29"/>
      <c r="C114" s="26"/>
      <c r="D114" s="24"/>
      <c r="E114" s="29"/>
      <c r="F114" s="26"/>
      <c r="G114" s="24"/>
      <c r="H114" s="17"/>
      <c r="I114" s="29"/>
      <c r="J114" s="26"/>
      <c r="K114" s="24"/>
      <c r="L114" s="35"/>
      <c r="M114" s="43"/>
      <c r="N114" s="47"/>
      <c r="O114" s="39"/>
    </row>
    <row r="115" spans="1:15" x14ac:dyDescent="0.35">
      <c r="A115" s="28"/>
      <c r="B115" s="29"/>
      <c r="C115" s="26"/>
      <c r="D115" s="24"/>
      <c r="E115" s="29"/>
      <c r="F115" s="26"/>
      <c r="G115" s="24"/>
      <c r="H115" s="17"/>
      <c r="I115" s="33" t="s">
        <v>19</v>
      </c>
      <c r="J115" s="27" t="s">
        <v>20</v>
      </c>
      <c r="K115" s="34" t="s">
        <v>10</v>
      </c>
      <c r="L115" s="35"/>
      <c r="M115" s="43"/>
      <c r="N115" s="47"/>
      <c r="O115" s="39"/>
    </row>
    <row r="116" spans="1:15" x14ac:dyDescent="0.35">
      <c r="A116" s="28"/>
      <c r="B116" s="29"/>
      <c r="C116" s="26"/>
      <c r="D116" s="24"/>
      <c r="E116" s="29"/>
      <c r="F116" s="26"/>
      <c r="G116" s="24"/>
      <c r="H116" s="17"/>
      <c r="I116" s="5">
        <v>5</v>
      </c>
      <c r="J116" s="7">
        <v>600</v>
      </c>
      <c r="K116" s="16">
        <f t="shared" ref="K116:K117" si="105">J116*I116</f>
        <v>3000</v>
      </c>
      <c r="L116" s="35"/>
      <c r="M116" s="43"/>
      <c r="N116" s="47"/>
      <c r="O116" s="39"/>
    </row>
    <row r="117" spans="1:15" x14ac:dyDescent="0.35">
      <c r="A117" s="28"/>
      <c r="B117" s="29"/>
      <c r="C117" s="26"/>
      <c r="D117" s="24"/>
      <c r="E117" s="29"/>
      <c r="F117" s="26"/>
      <c r="G117" s="24"/>
      <c r="H117" s="17"/>
      <c r="I117" s="5">
        <v>446</v>
      </c>
      <c r="J117" s="7">
        <v>300</v>
      </c>
      <c r="K117" s="16">
        <f t="shared" si="105"/>
        <v>133800</v>
      </c>
      <c r="L117" s="35"/>
      <c r="M117" s="43"/>
      <c r="N117" s="47"/>
      <c r="O117" s="39"/>
    </row>
    <row r="118" spans="1:15" x14ac:dyDescent="0.35">
      <c r="A118" s="28">
        <v>46225</v>
      </c>
      <c r="B118" s="29">
        <v>0</v>
      </c>
      <c r="C118" s="26">
        <v>10500</v>
      </c>
      <c r="D118" s="24">
        <f t="shared" ref="D118" si="106">C118*B118</f>
        <v>0</v>
      </c>
      <c r="E118" s="29">
        <v>0</v>
      </c>
      <c r="F118" s="26">
        <v>2000</v>
      </c>
      <c r="G118" s="24">
        <f t="shared" ref="G118" si="107">E118*F118</f>
        <v>0</v>
      </c>
      <c r="H118" s="17">
        <f t="shared" ref="H118" si="108">G118+D118</f>
        <v>0</v>
      </c>
      <c r="I118" s="29">
        <f>SUM(I115:I117)</f>
        <v>451</v>
      </c>
      <c r="J118" s="26"/>
      <c r="K118" s="24">
        <f>SUM(K115:K117)</f>
        <v>136800</v>
      </c>
      <c r="L118" s="35">
        <f t="shared" ref="L118" si="109">K118+H118</f>
        <v>136800</v>
      </c>
      <c r="M118" s="43">
        <f>L118*$M$5</f>
        <v>41040</v>
      </c>
      <c r="N118" s="47">
        <f>L118*$N$5</f>
        <v>95760</v>
      </c>
      <c r="O118" s="39">
        <f>SUM(M118:N118)</f>
        <v>136800</v>
      </c>
    </row>
    <row r="119" spans="1:15" x14ac:dyDescent="0.35">
      <c r="A119" s="28"/>
      <c r="B119" s="29"/>
      <c r="C119" s="26"/>
      <c r="D119" s="24"/>
      <c r="E119" s="29"/>
      <c r="F119" s="26"/>
      <c r="G119" s="24"/>
      <c r="H119" s="17"/>
      <c r="I119" s="29"/>
      <c r="J119" s="26"/>
      <c r="K119" s="24"/>
      <c r="L119" s="35"/>
      <c r="M119" s="43"/>
      <c r="N119" s="47"/>
      <c r="O119" s="39"/>
    </row>
    <row r="120" spans="1:15" x14ac:dyDescent="0.35">
      <c r="A120" s="28"/>
      <c r="B120" s="29"/>
      <c r="C120" s="26"/>
      <c r="D120" s="24"/>
      <c r="E120" s="29"/>
      <c r="F120" s="26"/>
      <c r="G120" s="24"/>
      <c r="H120" s="17"/>
      <c r="I120" s="33" t="s">
        <v>19</v>
      </c>
      <c r="J120" s="27" t="s">
        <v>20</v>
      </c>
      <c r="K120" s="34" t="s">
        <v>10</v>
      </c>
      <c r="L120" s="35"/>
      <c r="M120" s="43"/>
      <c r="N120" s="47"/>
      <c r="O120" s="39"/>
    </row>
    <row r="121" spans="1:15" x14ac:dyDescent="0.35">
      <c r="A121" s="28"/>
      <c r="B121" s="29"/>
      <c r="C121" s="26"/>
      <c r="D121" s="24"/>
      <c r="E121" s="29"/>
      <c r="F121" s="26"/>
      <c r="G121" s="24"/>
      <c r="H121" s="17"/>
      <c r="I121" s="5">
        <v>10</v>
      </c>
      <c r="J121" s="7">
        <v>600</v>
      </c>
      <c r="K121" s="16">
        <f t="shared" ref="K121:K122" si="110">J121*I121</f>
        <v>6000</v>
      </c>
      <c r="L121" s="35"/>
      <c r="M121" s="43"/>
      <c r="N121" s="47"/>
      <c r="O121" s="39"/>
    </row>
    <row r="122" spans="1:15" x14ac:dyDescent="0.35">
      <c r="A122" s="28"/>
      <c r="B122" s="29"/>
      <c r="C122" s="26"/>
      <c r="D122" s="24"/>
      <c r="E122" s="29"/>
      <c r="F122" s="26"/>
      <c r="G122" s="24"/>
      <c r="H122" s="17"/>
      <c r="I122" s="5">
        <v>698</v>
      </c>
      <c r="J122" s="7">
        <v>300</v>
      </c>
      <c r="K122" s="16">
        <f t="shared" si="110"/>
        <v>209400</v>
      </c>
      <c r="L122" s="35"/>
      <c r="M122" s="43"/>
      <c r="N122" s="47"/>
      <c r="O122" s="39"/>
    </row>
    <row r="123" spans="1:15" x14ac:dyDescent="0.35">
      <c r="A123" s="28">
        <v>46226</v>
      </c>
      <c r="B123" s="29">
        <v>0</v>
      </c>
      <c r="C123" s="26">
        <v>10500</v>
      </c>
      <c r="D123" s="24">
        <f t="shared" ref="D123" si="111">C123*B123</f>
        <v>0</v>
      </c>
      <c r="E123" s="29">
        <v>1</v>
      </c>
      <c r="F123" s="26">
        <v>2000</v>
      </c>
      <c r="G123" s="24">
        <f t="shared" ref="G123" si="112">E123*F123</f>
        <v>2000</v>
      </c>
      <c r="H123" s="17">
        <f t="shared" ref="H123" si="113">G123+D123</f>
        <v>2000</v>
      </c>
      <c r="I123" s="29">
        <f>SUM(I120:I122)</f>
        <v>708</v>
      </c>
      <c r="J123" s="26"/>
      <c r="K123" s="24">
        <f>SUM(K120:K122)</f>
        <v>215400</v>
      </c>
      <c r="L123" s="35">
        <f t="shared" ref="L123" si="114">K123+H123</f>
        <v>217400</v>
      </c>
      <c r="M123" s="43">
        <f>L123*$M$5</f>
        <v>65220</v>
      </c>
      <c r="N123" s="47">
        <f>L123*$N$5</f>
        <v>152180</v>
      </c>
      <c r="O123" s="39">
        <f>SUM(M123:N123)</f>
        <v>217400</v>
      </c>
    </row>
    <row r="124" spans="1:15" x14ac:dyDescent="0.35">
      <c r="A124" s="28"/>
      <c r="B124" s="29"/>
      <c r="C124" s="26"/>
      <c r="D124" s="24"/>
      <c r="E124" s="29"/>
      <c r="F124" s="26"/>
      <c r="G124" s="24"/>
      <c r="H124" s="17"/>
      <c r="I124" s="29"/>
      <c r="J124" s="26"/>
      <c r="K124" s="24"/>
      <c r="L124" s="35"/>
      <c r="M124" s="43"/>
      <c r="N124" s="47"/>
      <c r="O124" s="39"/>
    </row>
    <row r="125" spans="1:15" x14ac:dyDescent="0.35">
      <c r="A125" s="28"/>
      <c r="B125" s="29"/>
      <c r="C125" s="26"/>
      <c r="D125" s="24"/>
      <c r="E125" s="29"/>
      <c r="F125" s="26"/>
      <c r="G125" s="24"/>
      <c r="H125" s="17"/>
      <c r="I125" s="33" t="s">
        <v>19</v>
      </c>
      <c r="J125" s="27" t="s">
        <v>20</v>
      </c>
      <c r="K125" s="34" t="s">
        <v>10</v>
      </c>
      <c r="L125" s="35"/>
      <c r="M125" s="43"/>
      <c r="N125" s="47"/>
      <c r="O125" s="39"/>
    </row>
    <row r="126" spans="1:15" x14ac:dyDescent="0.35">
      <c r="A126" s="28"/>
      <c r="B126" s="29"/>
      <c r="C126" s="26"/>
      <c r="D126" s="24"/>
      <c r="E126" s="29"/>
      <c r="F126" s="26"/>
      <c r="G126" s="24"/>
      <c r="H126" s="17"/>
      <c r="I126" s="5">
        <v>4</v>
      </c>
      <c r="J126" s="7">
        <v>600</v>
      </c>
      <c r="K126" s="16">
        <f t="shared" ref="K126:K128" si="115">J126*I126</f>
        <v>2400</v>
      </c>
      <c r="L126" s="35"/>
      <c r="M126" s="43"/>
      <c r="N126" s="47"/>
      <c r="O126" s="39"/>
    </row>
    <row r="127" spans="1:15" x14ac:dyDescent="0.35">
      <c r="A127" s="28"/>
      <c r="B127" s="29"/>
      <c r="C127" s="26"/>
      <c r="D127" s="24"/>
      <c r="E127" s="29"/>
      <c r="F127" s="26"/>
      <c r="G127" s="24"/>
      <c r="H127" s="17"/>
      <c r="I127" s="5">
        <v>743</v>
      </c>
      <c r="J127" s="7">
        <v>300</v>
      </c>
      <c r="K127" s="16">
        <f t="shared" si="115"/>
        <v>222900</v>
      </c>
      <c r="L127" s="35"/>
      <c r="M127" s="43"/>
      <c r="N127" s="47"/>
      <c r="O127" s="39"/>
    </row>
    <row r="128" spans="1:15" x14ac:dyDescent="0.35">
      <c r="A128" s="28"/>
      <c r="B128" s="29"/>
      <c r="C128" s="26"/>
      <c r="D128" s="24"/>
      <c r="E128" s="29"/>
      <c r="F128" s="26"/>
      <c r="G128" s="24"/>
      <c r="H128" s="17"/>
      <c r="I128" s="50">
        <v>1</v>
      </c>
      <c r="J128" s="51">
        <v>2000</v>
      </c>
      <c r="K128" s="16">
        <f t="shared" si="115"/>
        <v>2000</v>
      </c>
      <c r="L128" s="35"/>
      <c r="M128" s="43"/>
      <c r="N128" s="47"/>
      <c r="O128" s="39"/>
    </row>
    <row r="129" spans="1:15" x14ac:dyDescent="0.35">
      <c r="A129" s="28">
        <v>46227</v>
      </c>
      <c r="B129" s="29">
        <v>2</v>
      </c>
      <c r="C129" s="26">
        <v>10500</v>
      </c>
      <c r="D129" s="24">
        <f t="shared" ref="D129" si="116">C129*B129</f>
        <v>21000</v>
      </c>
      <c r="E129" s="29">
        <v>0</v>
      </c>
      <c r="F129" s="26">
        <v>2000</v>
      </c>
      <c r="G129" s="24">
        <f t="shared" ref="G129" si="117">E129*F129</f>
        <v>0</v>
      </c>
      <c r="H129" s="17">
        <f t="shared" ref="H129" si="118">G129+D129</f>
        <v>21000</v>
      </c>
      <c r="I129" s="29">
        <f>SUM(I126:I128)</f>
        <v>748</v>
      </c>
      <c r="J129" s="26"/>
      <c r="K129" s="24">
        <f>SUM(K126:K128)</f>
        <v>227300</v>
      </c>
      <c r="L129" s="35">
        <f t="shared" ref="L129" si="119">K129+H129</f>
        <v>248300</v>
      </c>
      <c r="M129" s="43">
        <f>L129*$M$5</f>
        <v>74490</v>
      </c>
      <c r="N129" s="47">
        <f>L129*$N$5</f>
        <v>173810</v>
      </c>
      <c r="O129" s="39">
        <f>SUM(M129:N129)</f>
        <v>248300</v>
      </c>
    </row>
    <row r="130" spans="1:15" x14ac:dyDescent="0.35">
      <c r="A130" s="28"/>
      <c r="B130" s="29"/>
      <c r="C130" s="26"/>
      <c r="D130" s="24"/>
      <c r="E130" s="29"/>
      <c r="F130" s="26"/>
      <c r="G130" s="24"/>
      <c r="H130" s="17"/>
      <c r="I130" s="29"/>
      <c r="J130" s="26"/>
      <c r="K130" s="24"/>
      <c r="L130" s="35"/>
      <c r="M130" s="43"/>
      <c r="N130" s="47"/>
      <c r="O130" s="39"/>
    </row>
    <row r="131" spans="1:15" x14ac:dyDescent="0.35">
      <c r="A131" s="28"/>
      <c r="B131" s="29"/>
      <c r="C131" s="26"/>
      <c r="D131" s="24"/>
      <c r="E131" s="29"/>
      <c r="F131" s="26"/>
      <c r="G131" s="24"/>
      <c r="H131" s="17"/>
      <c r="I131" s="33" t="s">
        <v>19</v>
      </c>
      <c r="J131" s="27" t="s">
        <v>20</v>
      </c>
      <c r="K131" s="34" t="s">
        <v>10</v>
      </c>
      <c r="L131" s="35"/>
      <c r="M131" s="43"/>
      <c r="N131" s="47"/>
      <c r="O131" s="39"/>
    </row>
    <row r="132" spans="1:15" x14ac:dyDescent="0.35">
      <c r="A132" s="28"/>
      <c r="B132" s="29"/>
      <c r="C132" s="26"/>
      <c r="D132" s="24"/>
      <c r="E132" s="29"/>
      <c r="F132" s="26"/>
      <c r="G132" s="24"/>
      <c r="H132" s="17"/>
      <c r="I132" s="5">
        <v>8</v>
      </c>
      <c r="J132" s="7">
        <v>600</v>
      </c>
      <c r="K132" s="16">
        <f t="shared" ref="K132:K134" si="120">J132*I132</f>
        <v>4800</v>
      </c>
      <c r="L132" s="35"/>
      <c r="M132" s="43"/>
      <c r="N132" s="47"/>
      <c r="O132" s="39"/>
    </row>
    <row r="133" spans="1:15" x14ac:dyDescent="0.35">
      <c r="A133" s="28"/>
      <c r="B133" s="29"/>
      <c r="C133" s="26"/>
      <c r="D133" s="24"/>
      <c r="E133" s="29"/>
      <c r="F133" s="26"/>
      <c r="G133" s="24"/>
      <c r="H133" s="17"/>
      <c r="I133" s="5">
        <v>407</v>
      </c>
      <c r="J133" s="7">
        <v>300</v>
      </c>
      <c r="K133" s="16">
        <f t="shared" si="120"/>
        <v>122100</v>
      </c>
      <c r="L133" s="35"/>
      <c r="M133" s="43"/>
      <c r="N133" s="47"/>
      <c r="O133" s="39"/>
    </row>
    <row r="134" spans="1:15" x14ac:dyDescent="0.35">
      <c r="A134" s="28"/>
      <c r="B134" s="29"/>
      <c r="C134" s="26"/>
      <c r="D134" s="24"/>
      <c r="E134" s="29"/>
      <c r="F134" s="26"/>
      <c r="G134" s="24"/>
      <c r="H134" s="17"/>
      <c r="I134" s="50">
        <v>2</v>
      </c>
      <c r="J134" s="51">
        <v>3000</v>
      </c>
      <c r="K134" s="16">
        <f t="shared" si="120"/>
        <v>6000</v>
      </c>
      <c r="L134" s="35"/>
      <c r="M134" s="43"/>
      <c r="N134" s="47"/>
      <c r="O134" s="39"/>
    </row>
    <row r="135" spans="1:15" x14ac:dyDescent="0.35">
      <c r="A135" s="28">
        <v>46228</v>
      </c>
      <c r="B135" s="29">
        <v>0</v>
      </c>
      <c r="C135" s="26">
        <v>10500</v>
      </c>
      <c r="D135" s="24">
        <f t="shared" ref="D135" si="121">C135*B135</f>
        <v>0</v>
      </c>
      <c r="E135" s="29">
        <v>0</v>
      </c>
      <c r="F135" s="26">
        <v>2000</v>
      </c>
      <c r="G135" s="24">
        <f t="shared" ref="G135" si="122">E135*F135</f>
        <v>0</v>
      </c>
      <c r="H135" s="17">
        <f t="shared" ref="H135" si="123">G135+D135</f>
        <v>0</v>
      </c>
      <c r="I135" s="29">
        <f>SUM(I132:I134)</f>
        <v>417</v>
      </c>
      <c r="J135" s="26"/>
      <c r="K135" s="24">
        <f>SUM(K132:K134)</f>
        <v>132900</v>
      </c>
      <c r="L135" s="35">
        <f t="shared" ref="L135" si="124">K135+H135</f>
        <v>132900</v>
      </c>
      <c r="M135" s="43">
        <f>L135*$M$5</f>
        <v>39870</v>
      </c>
      <c r="N135" s="47">
        <f>L135*$N$5</f>
        <v>93030</v>
      </c>
      <c r="O135" s="39">
        <f>SUM(M135:N135)</f>
        <v>132900</v>
      </c>
    </row>
    <row r="136" spans="1:15" x14ac:dyDescent="0.35">
      <c r="A136" s="28"/>
      <c r="B136" s="29"/>
      <c r="C136" s="26"/>
      <c r="D136" s="24"/>
      <c r="E136" s="29"/>
      <c r="F136" s="26"/>
      <c r="G136" s="24"/>
      <c r="H136" s="17"/>
      <c r="I136" s="29"/>
      <c r="J136" s="26"/>
      <c r="K136" s="24"/>
      <c r="L136" s="35"/>
      <c r="M136" s="43"/>
      <c r="N136" s="47"/>
      <c r="O136" s="39"/>
    </row>
    <row r="137" spans="1:15" x14ac:dyDescent="0.35">
      <c r="A137" s="28"/>
      <c r="B137" s="29"/>
      <c r="C137" s="26"/>
      <c r="D137" s="24"/>
      <c r="E137" s="29"/>
      <c r="F137" s="26"/>
      <c r="G137" s="24"/>
      <c r="H137" s="17"/>
      <c r="I137" s="33" t="s">
        <v>19</v>
      </c>
      <c r="J137" s="27" t="s">
        <v>20</v>
      </c>
      <c r="K137" s="34" t="s">
        <v>10</v>
      </c>
      <c r="L137" s="35"/>
      <c r="M137" s="43"/>
      <c r="N137" s="47"/>
      <c r="O137" s="39"/>
    </row>
    <row r="138" spans="1:15" x14ac:dyDescent="0.35">
      <c r="A138" s="28"/>
      <c r="B138" s="29"/>
      <c r="C138" s="26"/>
      <c r="D138" s="24"/>
      <c r="E138" s="29"/>
      <c r="F138" s="26"/>
      <c r="G138" s="24"/>
      <c r="H138" s="17"/>
      <c r="I138" s="5">
        <v>3</v>
      </c>
      <c r="J138" s="7">
        <v>600</v>
      </c>
      <c r="K138" s="16">
        <f t="shared" ref="K138:K140" si="125">J138*I138</f>
        <v>1800</v>
      </c>
      <c r="L138" s="35"/>
      <c r="M138" s="43"/>
      <c r="N138" s="47"/>
      <c r="O138" s="39"/>
    </row>
    <row r="139" spans="1:15" x14ac:dyDescent="0.35">
      <c r="A139" s="28"/>
      <c r="B139" s="29"/>
      <c r="C139" s="26"/>
      <c r="D139" s="24"/>
      <c r="E139" s="29"/>
      <c r="F139" s="26"/>
      <c r="G139" s="24"/>
      <c r="H139" s="17"/>
      <c r="I139" s="5">
        <v>22</v>
      </c>
      <c r="J139" s="7">
        <v>300</v>
      </c>
      <c r="K139" s="16">
        <f t="shared" si="125"/>
        <v>6600</v>
      </c>
      <c r="L139" s="35"/>
      <c r="M139" s="43"/>
      <c r="N139" s="47"/>
      <c r="O139" s="39"/>
    </row>
    <row r="140" spans="1:15" x14ac:dyDescent="0.35">
      <c r="A140" s="28"/>
      <c r="B140" s="29"/>
      <c r="C140" s="26"/>
      <c r="D140" s="24"/>
      <c r="E140" s="29"/>
      <c r="F140" s="26"/>
      <c r="G140" s="24"/>
      <c r="H140" s="17"/>
      <c r="I140" s="50">
        <v>1</v>
      </c>
      <c r="J140" s="51">
        <v>900</v>
      </c>
      <c r="K140" s="16">
        <f t="shared" si="125"/>
        <v>900</v>
      </c>
      <c r="L140" s="35"/>
      <c r="M140" s="43"/>
      <c r="N140" s="47"/>
      <c r="O140" s="39"/>
    </row>
    <row r="141" spans="1:15" x14ac:dyDescent="0.35">
      <c r="A141" s="28">
        <v>46229</v>
      </c>
      <c r="B141" s="29">
        <v>0</v>
      </c>
      <c r="C141" s="26">
        <v>10500</v>
      </c>
      <c r="D141" s="24">
        <f t="shared" ref="D141" si="126">C141*B141</f>
        <v>0</v>
      </c>
      <c r="E141" s="29">
        <v>0</v>
      </c>
      <c r="F141" s="26">
        <v>2000</v>
      </c>
      <c r="G141" s="24">
        <f t="shared" ref="G141" si="127">E141*F141</f>
        <v>0</v>
      </c>
      <c r="H141" s="17">
        <f t="shared" ref="H141" si="128">G141+D141</f>
        <v>0</v>
      </c>
      <c r="I141" s="29">
        <f>SUM(I138:I140)</f>
        <v>26</v>
      </c>
      <c r="J141" s="26"/>
      <c r="K141" s="24">
        <f>SUM(K138:K140)</f>
        <v>9300</v>
      </c>
      <c r="L141" s="35">
        <f t="shared" ref="L141" si="129">K141+H141</f>
        <v>9300</v>
      </c>
      <c r="M141" s="43">
        <f>L141*$M$5</f>
        <v>2790</v>
      </c>
      <c r="N141" s="47">
        <f>L141*$N$5</f>
        <v>6510</v>
      </c>
      <c r="O141" s="39">
        <f>SUM(M141:N141)</f>
        <v>9300</v>
      </c>
    </row>
    <row r="142" spans="1:15" x14ac:dyDescent="0.35">
      <c r="A142" s="28"/>
      <c r="B142" s="29"/>
      <c r="C142" s="26"/>
      <c r="D142" s="24"/>
      <c r="E142" s="29"/>
      <c r="F142" s="26"/>
      <c r="G142" s="24"/>
      <c r="H142" s="17"/>
      <c r="I142" s="29"/>
      <c r="J142" s="26"/>
      <c r="K142" s="24"/>
      <c r="L142" s="35"/>
      <c r="M142" s="43"/>
      <c r="N142" s="47"/>
      <c r="O142" s="39"/>
    </row>
    <row r="143" spans="1:15" x14ac:dyDescent="0.35">
      <c r="A143" s="28"/>
      <c r="B143" s="29"/>
      <c r="C143" s="26"/>
      <c r="D143" s="24"/>
      <c r="E143" s="29"/>
      <c r="F143" s="26"/>
      <c r="G143" s="24"/>
      <c r="H143" s="17"/>
      <c r="I143" s="33" t="s">
        <v>19</v>
      </c>
      <c r="J143" s="27" t="s">
        <v>20</v>
      </c>
      <c r="K143" s="34" t="s">
        <v>10</v>
      </c>
      <c r="L143" s="35"/>
      <c r="M143" s="43"/>
      <c r="N143" s="47"/>
      <c r="O143" s="39"/>
    </row>
    <row r="144" spans="1:15" x14ac:dyDescent="0.35">
      <c r="A144" s="28"/>
      <c r="B144" s="29"/>
      <c r="C144" s="26"/>
      <c r="D144" s="24"/>
      <c r="E144" s="29"/>
      <c r="F144" s="26"/>
      <c r="G144" s="24"/>
      <c r="H144" s="17"/>
      <c r="I144" s="5">
        <v>11</v>
      </c>
      <c r="J144" s="7">
        <v>600</v>
      </c>
      <c r="K144" s="16">
        <f t="shared" ref="K144:K146" si="130">J144*I144</f>
        <v>6600</v>
      </c>
      <c r="L144" s="35"/>
      <c r="M144" s="43"/>
      <c r="N144" s="47"/>
      <c r="O144" s="39"/>
    </row>
    <row r="145" spans="1:15" x14ac:dyDescent="0.35">
      <c r="A145" s="28"/>
      <c r="B145" s="29"/>
      <c r="C145" s="26"/>
      <c r="D145" s="24"/>
      <c r="E145" s="29"/>
      <c r="F145" s="26"/>
      <c r="G145" s="24"/>
      <c r="H145" s="17"/>
      <c r="I145" s="5">
        <v>443</v>
      </c>
      <c r="J145" s="7">
        <v>300</v>
      </c>
      <c r="K145" s="16">
        <f t="shared" si="130"/>
        <v>132900</v>
      </c>
      <c r="L145" s="35"/>
      <c r="M145" s="43"/>
      <c r="N145" s="47"/>
      <c r="O145" s="39"/>
    </row>
    <row r="146" spans="1:15" x14ac:dyDescent="0.35">
      <c r="A146" s="28"/>
      <c r="B146" s="29"/>
      <c r="C146" s="26"/>
      <c r="D146" s="24"/>
      <c r="E146" s="29"/>
      <c r="F146" s="26"/>
      <c r="G146" s="24"/>
      <c r="H146" s="17"/>
      <c r="I146" s="50">
        <v>1</v>
      </c>
      <c r="J146" s="51">
        <v>1200</v>
      </c>
      <c r="K146" s="16">
        <f t="shared" si="130"/>
        <v>1200</v>
      </c>
      <c r="L146" s="35"/>
      <c r="M146" s="43"/>
      <c r="N146" s="47"/>
      <c r="O146" s="39"/>
    </row>
    <row r="147" spans="1:15" x14ac:dyDescent="0.35">
      <c r="A147" s="28">
        <v>46230</v>
      </c>
      <c r="B147" s="29">
        <v>0</v>
      </c>
      <c r="C147" s="26">
        <v>10500</v>
      </c>
      <c r="D147" s="24">
        <f t="shared" ref="D147" si="131">C147*B147</f>
        <v>0</v>
      </c>
      <c r="E147" s="29">
        <v>1</v>
      </c>
      <c r="F147" s="26">
        <v>2000</v>
      </c>
      <c r="G147" s="24">
        <f t="shared" ref="G147" si="132">E147*F147</f>
        <v>2000</v>
      </c>
      <c r="H147" s="17">
        <f t="shared" ref="H147" si="133">G147+D147</f>
        <v>2000</v>
      </c>
      <c r="I147" s="29">
        <f>SUM(I144:I146)</f>
        <v>455</v>
      </c>
      <c r="J147" s="26"/>
      <c r="K147" s="24">
        <f>SUM(K144:K146)</f>
        <v>140700</v>
      </c>
      <c r="L147" s="35">
        <f t="shared" ref="L147" si="134">K147+H147</f>
        <v>142700</v>
      </c>
      <c r="M147" s="43">
        <f>L147*$M$5</f>
        <v>42810</v>
      </c>
      <c r="N147" s="47">
        <f>L147*$N$5</f>
        <v>99890</v>
      </c>
      <c r="O147" s="39">
        <f>SUM(M147:N147)</f>
        <v>142700</v>
      </c>
    </row>
    <row r="148" spans="1:15" x14ac:dyDescent="0.35">
      <c r="A148" s="28"/>
      <c r="B148" s="29"/>
      <c r="C148" s="26"/>
      <c r="D148" s="24"/>
      <c r="E148" s="29"/>
      <c r="F148" s="26"/>
      <c r="G148" s="24"/>
      <c r="H148" s="17"/>
      <c r="I148" s="29"/>
      <c r="J148" s="26"/>
      <c r="K148" s="24"/>
      <c r="L148" s="35"/>
      <c r="M148" s="43"/>
      <c r="N148" s="47"/>
      <c r="O148" s="39"/>
    </row>
    <row r="149" spans="1:15" x14ac:dyDescent="0.35">
      <c r="A149" s="28"/>
      <c r="B149" s="29"/>
      <c r="C149" s="26"/>
      <c r="D149" s="24"/>
      <c r="E149" s="29"/>
      <c r="F149" s="26"/>
      <c r="G149" s="24"/>
      <c r="H149" s="17"/>
      <c r="I149" s="33" t="s">
        <v>19</v>
      </c>
      <c r="J149" s="27" t="s">
        <v>20</v>
      </c>
      <c r="K149" s="34" t="s">
        <v>10</v>
      </c>
      <c r="L149" s="35"/>
      <c r="M149" s="43"/>
      <c r="N149" s="47"/>
      <c r="O149" s="39"/>
    </row>
    <row r="150" spans="1:15" x14ac:dyDescent="0.35">
      <c r="A150" s="28"/>
      <c r="B150" s="29"/>
      <c r="C150" s="26"/>
      <c r="D150" s="24"/>
      <c r="E150" s="29"/>
      <c r="F150" s="26"/>
      <c r="G150" s="24"/>
      <c r="H150" s="17"/>
      <c r="I150" s="5">
        <v>12</v>
      </c>
      <c r="J150" s="7">
        <v>600</v>
      </c>
      <c r="K150" s="16">
        <f t="shared" ref="K150:K152" si="135">J150*I150</f>
        <v>7200</v>
      </c>
      <c r="L150" s="35"/>
      <c r="M150" s="43"/>
      <c r="N150" s="47"/>
      <c r="O150" s="39"/>
    </row>
    <row r="151" spans="1:15" x14ac:dyDescent="0.35">
      <c r="A151" s="28"/>
      <c r="B151" s="29"/>
      <c r="C151" s="26"/>
      <c r="D151" s="24"/>
      <c r="E151" s="29"/>
      <c r="F151" s="26"/>
      <c r="G151" s="24"/>
      <c r="H151" s="17"/>
      <c r="I151" s="5">
        <v>525</v>
      </c>
      <c r="J151" s="7">
        <v>300</v>
      </c>
      <c r="K151" s="16">
        <f t="shared" si="135"/>
        <v>157500</v>
      </c>
      <c r="L151" s="35"/>
      <c r="M151" s="43"/>
      <c r="N151" s="47"/>
      <c r="O151" s="39"/>
    </row>
    <row r="152" spans="1:15" x14ac:dyDescent="0.35">
      <c r="A152" s="28"/>
      <c r="B152" s="29"/>
      <c r="C152" s="26"/>
      <c r="D152" s="24"/>
      <c r="E152" s="29"/>
      <c r="F152" s="26"/>
      <c r="G152" s="24"/>
      <c r="H152" s="17"/>
      <c r="I152" s="50">
        <v>1</v>
      </c>
      <c r="J152" s="51">
        <v>2000</v>
      </c>
      <c r="K152" s="16">
        <f t="shared" si="135"/>
        <v>2000</v>
      </c>
      <c r="L152" s="35"/>
      <c r="M152" s="43"/>
      <c r="N152" s="47"/>
      <c r="O152" s="39"/>
    </row>
    <row r="153" spans="1:15" x14ac:dyDescent="0.35">
      <c r="A153" s="28">
        <v>46231</v>
      </c>
      <c r="B153" s="29">
        <v>0</v>
      </c>
      <c r="C153" s="26">
        <v>10500</v>
      </c>
      <c r="D153" s="24">
        <f t="shared" ref="D153" si="136">C153*B153</f>
        <v>0</v>
      </c>
      <c r="E153" s="29">
        <v>0</v>
      </c>
      <c r="F153" s="26">
        <v>2000</v>
      </c>
      <c r="G153" s="24">
        <f t="shared" ref="G153" si="137">E153*F153</f>
        <v>0</v>
      </c>
      <c r="H153" s="17">
        <f t="shared" ref="H153" si="138">G153+D153</f>
        <v>0</v>
      </c>
      <c r="I153" s="29">
        <f>SUM(I150:I152)</f>
        <v>538</v>
      </c>
      <c r="J153" s="26"/>
      <c r="K153" s="24">
        <f>SUM(K150:K152)</f>
        <v>166700</v>
      </c>
      <c r="L153" s="35">
        <f t="shared" ref="L153" si="139">K153+H153</f>
        <v>166700</v>
      </c>
      <c r="M153" s="43">
        <f>L153*$M$5</f>
        <v>50010</v>
      </c>
      <c r="N153" s="47">
        <f>L153*$N$5</f>
        <v>116689.99999999999</v>
      </c>
      <c r="O153" s="39">
        <f>SUM(M153:N153)</f>
        <v>166700</v>
      </c>
    </row>
    <row r="154" spans="1:15" x14ac:dyDescent="0.35">
      <c r="A154" s="28"/>
      <c r="B154" s="29"/>
      <c r="C154" s="26"/>
      <c r="D154" s="24"/>
      <c r="E154" s="29"/>
      <c r="F154" s="26"/>
      <c r="G154" s="24"/>
      <c r="H154" s="17"/>
      <c r="I154" s="29"/>
      <c r="J154" s="26"/>
      <c r="K154" s="24"/>
      <c r="L154" s="35"/>
      <c r="M154" s="43"/>
      <c r="N154" s="47"/>
      <c r="O154" s="39"/>
    </row>
    <row r="155" spans="1:15" x14ac:dyDescent="0.35">
      <c r="A155" s="28"/>
      <c r="B155" s="29"/>
      <c r="C155" s="26"/>
      <c r="D155" s="24"/>
      <c r="E155" s="29"/>
      <c r="F155" s="26"/>
      <c r="G155" s="24"/>
      <c r="H155" s="17"/>
      <c r="I155" s="33" t="s">
        <v>19</v>
      </c>
      <c r="J155" s="27" t="s">
        <v>20</v>
      </c>
      <c r="K155" s="34" t="s">
        <v>10</v>
      </c>
      <c r="L155" s="35"/>
      <c r="M155" s="43"/>
      <c r="N155" s="47"/>
      <c r="O155" s="39"/>
    </row>
    <row r="156" spans="1:15" x14ac:dyDescent="0.35">
      <c r="A156" s="28"/>
      <c r="B156" s="29"/>
      <c r="C156" s="26"/>
      <c r="D156" s="24"/>
      <c r="E156" s="29"/>
      <c r="F156" s="26"/>
      <c r="G156" s="24"/>
      <c r="H156" s="17"/>
      <c r="I156" s="5">
        <v>6</v>
      </c>
      <c r="J156" s="7">
        <v>600</v>
      </c>
      <c r="K156" s="16">
        <f t="shared" ref="K156:K158" si="140">J156*I156</f>
        <v>3600</v>
      </c>
      <c r="L156" s="35"/>
      <c r="M156" s="43"/>
      <c r="N156" s="47"/>
      <c r="O156" s="39"/>
    </row>
    <row r="157" spans="1:15" x14ac:dyDescent="0.35">
      <c r="A157" s="28"/>
      <c r="B157" s="29"/>
      <c r="C157" s="26"/>
      <c r="D157" s="24"/>
      <c r="E157" s="29"/>
      <c r="F157" s="26"/>
      <c r="G157" s="24"/>
      <c r="H157" s="17"/>
      <c r="I157" s="5">
        <v>399</v>
      </c>
      <c r="J157" s="7">
        <v>300</v>
      </c>
      <c r="K157" s="16">
        <f t="shared" si="140"/>
        <v>119700</v>
      </c>
      <c r="L157" s="35"/>
      <c r="M157" s="43"/>
      <c r="N157" s="47"/>
      <c r="O157" s="39"/>
    </row>
    <row r="158" spans="1:15" x14ac:dyDescent="0.35">
      <c r="A158" s="28"/>
      <c r="B158" s="29"/>
      <c r="C158" s="26"/>
      <c r="D158" s="24"/>
      <c r="E158" s="29"/>
      <c r="F158" s="26"/>
      <c r="G158" s="24"/>
      <c r="H158" s="17"/>
      <c r="I158" s="50">
        <v>2</v>
      </c>
      <c r="J158" s="51">
        <v>1200</v>
      </c>
      <c r="K158" s="16">
        <f t="shared" si="140"/>
        <v>2400</v>
      </c>
      <c r="L158" s="35"/>
      <c r="M158" s="43"/>
      <c r="N158" s="47"/>
      <c r="O158" s="39"/>
    </row>
    <row r="159" spans="1:15" x14ac:dyDescent="0.35">
      <c r="A159" s="28">
        <v>46232</v>
      </c>
      <c r="B159" s="29">
        <v>0</v>
      </c>
      <c r="C159" s="26">
        <v>10500</v>
      </c>
      <c r="D159" s="24">
        <f t="shared" ref="D159" si="141">C159*B159</f>
        <v>0</v>
      </c>
      <c r="E159" s="29">
        <v>1</v>
      </c>
      <c r="F159" s="26">
        <v>2000</v>
      </c>
      <c r="G159" s="24">
        <f t="shared" ref="G159" si="142">E159*F159</f>
        <v>2000</v>
      </c>
      <c r="H159" s="17">
        <f t="shared" ref="H159" si="143">G159+D159</f>
        <v>2000</v>
      </c>
      <c r="I159" s="29">
        <f>SUM(I156:I158)</f>
        <v>407</v>
      </c>
      <c r="J159" s="26"/>
      <c r="K159" s="24">
        <f>SUM(K156:K158)</f>
        <v>125700</v>
      </c>
      <c r="L159" s="35">
        <f t="shared" ref="L159" si="144">K159+H159</f>
        <v>127700</v>
      </c>
      <c r="M159" s="43">
        <f>L159*$M$5</f>
        <v>38310</v>
      </c>
      <c r="N159" s="47">
        <f>L159*$N$5</f>
        <v>89390</v>
      </c>
      <c r="O159" s="39">
        <f>SUM(M159:N159)</f>
        <v>127700</v>
      </c>
    </row>
    <row r="160" spans="1:15" x14ac:dyDescent="0.35">
      <c r="A160" s="28"/>
      <c r="B160" s="29"/>
      <c r="C160" s="26"/>
      <c r="D160" s="24"/>
      <c r="E160" s="29"/>
      <c r="F160" s="26"/>
      <c r="G160" s="24"/>
      <c r="H160" s="17"/>
      <c r="I160" s="29"/>
      <c r="J160" s="26"/>
      <c r="K160" s="24"/>
      <c r="L160" s="35"/>
      <c r="M160" s="43"/>
      <c r="N160" s="47"/>
      <c r="O160" s="39"/>
    </row>
    <row r="161" spans="1:15" x14ac:dyDescent="0.35">
      <c r="A161" s="28"/>
      <c r="B161" s="29"/>
      <c r="C161" s="26"/>
      <c r="D161" s="24"/>
      <c r="E161" s="29"/>
      <c r="F161" s="26"/>
      <c r="G161" s="24"/>
      <c r="H161" s="17"/>
      <c r="I161" s="33" t="s">
        <v>19</v>
      </c>
      <c r="J161" s="27" t="s">
        <v>20</v>
      </c>
      <c r="K161" s="34" t="s">
        <v>10</v>
      </c>
      <c r="L161" s="35"/>
      <c r="M161" s="43"/>
      <c r="N161" s="47"/>
      <c r="O161" s="39"/>
    </row>
    <row r="162" spans="1:15" x14ac:dyDescent="0.35">
      <c r="A162" s="28"/>
      <c r="B162" s="29"/>
      <c r="C162" s="26"/>
      <c r="D162" s="24"/>
      <c r="E162" s="29"/>
      <c r="F162" s="26"/>
      <c r="G162" s="24"/>
      <c r="H162" s="17"/>
      <c r="I162" s="5">
        <v>25</v>
      </c>
      <c r="J162" s="7">
        <v>600</v>
      </c>
      <c r="K162" s="16">
        <f t="shared" ref="K162:K164" si="145">J162*I162</f>
        <v>15000</v>
      </c>
      <c r="L162" s="35"/>
      <c r="M162" s="43"/>
      <c r="N162" s="47"/>
      <c r="O162" s="39"/>
    </row>
    <row r="163" spans="1:15" x14ac:dyDescent="0.35">
      <c r="A163" s="28"/>
      <c r="B163" s="29"/>
      <c r="C163" s="26"/>
      <c r="D163" s="24"/>
      <c r="E163" s="29"/>
      <c r="F163" s="26"/>
      <c r="G163" s="24"/>
      <c r="H163" s="17"/>
      <c r="I163" s="5">
        <v>524</v>
      </c>
      <c r="J163" s="7">
        <v>300</v>
      </c>
      <c r="K163" s="16">
        <f t="shared" si="145"/>
        <v>157200</v>
      </c>
      <c r="L163" s="35"/>
      <c r="M163" s="43"/>
      <c r="N163" s="47"/>
      <c r="O163" s="39"/>
    </row>
    <row r="164" spans="1:15" x14ac:dyDescent="0.35">
      <c r="A164" s="28"/>
      <c r="B164" s="29"/>
      <c r="C164" s="26"/>
      <c r="D164" s="24"/>
      <c r="E164" s="29"/>
      <c r="F164" s="26"/>
      <c r="G164" s="24"/>
      <c r="H164" s="17"/>
      <c r="I164" s="50">
        <v>1</v>
      </c>
      <c r="J164" s="51">
        <v>1200</v>
      </c>
      <c r="K164" s="16">
        <f t="shared" si="145"/>
        <v>1200</v>
      </c>
      <c r="L164" s="35"/>
      <c r="M164" s="43"/>
      <c r="N164" s="47"/>
      <c r="O164" s="39"/>
    </row>
    <row r="165" spans="1:15" x14ac:dyDescent="0.35">
      <c r="A165" s="28">
        <v>46233</v>
      </c>
      <c r="B165" s="29">
        <v>0</v>
      </c>
      <c r="C165" s="26">
        <v>10500</v>
      </c>
      <c r="D165" s="24">
        <f t="shared" ref="D165" si="146">C165*B165</f>
        <v>0</v>
      </c>
      <c r="E165" s="29">
        <v>0</v>
      </c>
      <c r="F165" s="26">
        <v>2000</v>
      </c>
      <c r="G165" s="24">
        <f t="shared" ref="G165" si="147">E165*F165</f>
        <v>0</v>
      </c>
      <c r="H165" s="17">
        <f t="shared" ref="H165" si="148">G165+D165</f>
        <v>0</v>
      </c>
      <c r="I165" s="29">
        <f>SUM(I162:I164)</f>
        <v>550</v>
      </c>
      <c r="J165" s="26"/>
      <c r="K165" s="24">
        <f>SUM(K162:K164)</f>
        <v>173400</v>
      </c>
      <c r="L165" s="35">
        <f t="shared" ref="L165" si="149">K165+H165</f>
        <v>173400</v>
      </c>
      <c r="M165" s="43">
        <f>L165*$M$5</f>
        <v>52020</v>
      </c>
      <c r="N165" s="47">
        <f>L165*$N$5</f>
        <v>121379.99999999999</v>
      </c>
      <c r="O165" s="39">
        <f>SUM(M165:N165)</f>
        <v>173400</v>
      </c>
    </row>
    <row r="166" spans="1:15" x14ac:dyDescent="0.35">
      <c r="A166" s="28"/>
      <c r="B166" s="29"/>
      <c r="C166" s="26"/>
      <c r="D166" s="24"/>
      <c r="E166" s="29"/>
      <c r="F166" s="26"/>
      <c r="G166" s="24"/>
      <c r="H166" s="17"/>
      <c r="I166" s="29"/>
      <c r="J166" s="26"/>
      <c r="K166" s="24"/>
      <c r="L166" s="35"/>
      <c r="M166" s="43"/>
      <c r="N166" s="47"/>
      <c r="O166" s="39"/>
    </row>
    <row r="167" spans="1:15" x14ac:dyDescent="0.35">
      <c r="A167" s="28"/>
      <c r="B167" s="29"/>
      <c r="C167" s="26"/>
      <c r="D167" s="24"/>
      <c r="E167" s="29"/>
      <c r="F167" s="26"/>
      <c r="G167" s="24"/>
      <c r="H167" s="17"/>
      <c r="I167" s="29"/>
      <c r="J167" s="26"/>
      <c r="K167" s="24"/>
      <c r="L167" s="35"/>
      <c r="M167" s="43"/>
      <c r="N167" s="47"/>
      <c r="O167" s="39"/>
    </row>
    <row r="168" spans="1:15" x14ac:dyDescent="0.35">
      <c r="A168" s="28"/>
      <c r="B168" s="29"/>
      <c r="C168" s="26"/>
      <c r="D168" s="24"/>
      <c r="E168" s="29"/>
      <c r="F168" s="26"/>
      <c r="G168" s="24"/>
      <c r="H168" s="17"/>
      <c r="I168" s="29"/>
      <c r="J168" s="26"/>
      <c r="K168" s="24"/>
      <c r="L168" s="35"/>
      <c r="M168" s="43"/>
      <c r="N168" s="47"/>
      <c r="O168" s="39"/>
    </row>
    <row r="169" spans="1:15" x14ac:dyDescent="0.35">
      <c r="A169" s="28"/>
      <c r="B169" s="29"/>
      <c r="C169" s="26"/>
      <c r="D169" s="24"/>
      <c r="E169" s="29"/>
      <c r="F169" s="26"/>
      <c r="G169" s="24"/>
      <c r="H169" s="17"/>
      <c r="I169" s="29"/>
      <c r="J169" s="26"/>
      <c r="K169" s="24"/>
      <c r="L169" s="35"/>
      <c r="M169" s="43"/>
      <c r="N169" s="47"/>
      <c r="O169" s="39"/>
    </row>
    <row r="170" spans="1:15" x14ac:dyDescent="0.35">
      <c r="A170" s="28"/>
      <c r="B170" s="29"/>
      <c r="C170" s="26"/>
      <c r="D170" s="24"/>
      <c r="E170" s="29"/>
      <c r="F170" s="26"/>
      <c r="G170" s="24"/>
      <c r="H170" s="17"/>
      <c r="I170" s="50"/>
      <c r="J170" s="51"/>
      <c r="K170" s="16"/>
      <c r="L170" s="35"/>
      <c r="M170" s="43"/>
      <c r="N170" s="47"/>
      <c r="O170" s="39"/>
    </row>
    <row r="171" spans="1:15" x14ac:dyDescent="0.35">
      <c r="A171" s="11" t="s">
        <v>14</v>
      </c>
      <c r="B171" s="29">
        <f>SUM(B7:B170)</f>
        <v>17</v>
      </c>
      <c r="C171" s="26"/>
      <c r="D171" s="24">
        <f>SUM(D7:D170)</f>
        <v>178500</v>
      </c>
      <c r="E171" s="29">
        <f>SUM(E7:E170)</f>
        <v>32</v>
      </c>
      <c r="F171" s="26"/>
      <c r="G171" s="24">
        <f>SUM(G7:G170)</f>
        <v>64000</v>
      </c>
      <c r="H171" s="17">
        <f>SUM(H7:H170)</f>
        <v>242500</v>
      </c>
      <c r="I171" s="29">
        <f>I11+I17+I22+I28+I32+I37+I42+I47+I52+I57+I63+I67+I73+I78+I83+I88+I93+I98+I103+I108+I113+I118+I123+I129+I135+I141+I147+I153+I159+I165</f>
        <v>15613</v>
      </c>
      <c r="J171" s="26"/>
      <c r="K171" s="24">
        <f>K11+K17+K22+K28+K32+K37+K42+K47+K52+K57+K63+K67+K73+K78+K83+K88+K93+K98+K103+K108+K113+K118+K123+K129+K135+K141+K147+K153+K159+K165</f>
        <v>4767900</v>
      </c>
      <c r="L171" s="35">
        <f>SUM(L7:L170)</f>
        <v>5010400</v>
      </c>
      <c r="M171" s="43">
        <f>SUM(M7:M170)</f>
        <v>1503120</v>
      </c>
      <c r="N171" s="47">
        <f>SUM(N7:N170)</f>
        <v>3507280</v>
      </c>
      <c r="O171" s="39">
        <f>SUM(O7:O170)</f>
        <v>5010400</v>
      </c>
    </row>
    <row r="172" spans="1:15" ht="15" thickBot="1" x14ac:dyDescent="0.4">
      <c r="A172" s="12"/>
      <c r="B172" s="30"/>
      <c r="C172" s="31"/>
      <c r="D172" s="32"/>
      <c r="E172" s="30"/>
      <c r="F172" s="31"/>
      <c r="G172" s="32"/>
      <c r="H172" s="19"/>
      <c r="I172" s="30"/>
      <c r="J172" s="31"/>
      <c r="K172" s="32"/>
      <c r="L172" s="37">
        <f>H171+K171</f>
        <v>5010400</v>
      </c>
      <c r="M172" s="45"/>
      <c r="N172" s="49"/>
      <c r="O172" s="41"/>
    </row>
  </sheetData>
  <mergeCells count="5">
    <mergeCell ref="B5:D5"/>
    <mergeCell ref="E5:G5"/>
    <mergeCell ref="I5:K5"/>
    <mergeCell ref="M4:O4"/>
    <mergeCell ref="B4:G4"/>
  </mergeCells>
  <pageMargins left="0.70866141732283472" right="0.70866141732283472" top="0.74803149606299213" bottom="0.74803149606299213" header="0.31496062992125984" footer="0.31496062992125984"/>
  <pageSetup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Sanjeev Bansal</dc:creator>
  <cp:lastModifiedBy>Sanjeev Bansal</cp:lastModifiedBy>
  <cp:lastPrinted>2026-03-12T12:58:29Z</cp:lastPrinted>
  <dcterms:created xsi:type="dcterms:W3CDTF">2026-03-12T08:26:19Z</dcterms:created>
  <dcterms:modified xsi:type="dcterms:W3CDTF">2026-07-31T03:53:16Z</dcterms:modified>
</cp:coreProperties>
</file>