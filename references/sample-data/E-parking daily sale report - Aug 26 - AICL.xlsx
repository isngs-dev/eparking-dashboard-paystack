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\Global Software\Garki e-park\Reporting\Aug 26\"/>
    </mc:Choice>
  </mc:AlternateContent>
  <xr:revisionPtr revIDLastSave="0" documentId="13_ncr:1_{524CE99B-52C7-420A-A03B-B7664FC1A113}" xr6:coauthVersionLast="36" xr6:coauthVersionMax="36" xr10:uidLastSave="{00000000-0000-0000-0000-000000000000}"/>
  <bookViews>
    <workbookView xWindow="0" yWindow="0" windowWidth="19200" windowHeight="6060" xr2:uid="{B5F4582F-15A7-4991-8877-0C7161A2C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" i="1" l="1"/>
  <c r="I32" i="1"/>
  <c r="K27" i="1"/>
  <c r="I27" i="1"/>
  <c r="G27" i="1"/>
  <c r="D27" i="1"/>
  <c r="K26" i="1"/>
  <c r="K25" i="1"/>
  <c r="K24" i="1"/>
  <c r="H27" i="1" l="1"/>
  <c r="L27" i="1" s="1"/>
  <c r="N27" i="1" s="1"/>
  <c r="M27" i="1" l="1"/>
  <c r="O27" i="1"/>
  <c r="K21" i="1" l="1"/>
  <c r="I21" i="1"/>
  <c r="G21" i="1"/>
  <c r="D21" i="1"/>
  <c r="K20" i="1"/>
  <c r="K19" i="1"/>
  <c r="K18" i="1"/>
  <c r="H21" i="1" l="1"/>
  <c r="L21" i="1" s="1"/>
  <c r="N21" i="1" s="1"/>
  <c r="M21" i="1" l="1"/>
  <c r="O21" i="1"/>
  <c r="K15" i="1" l="1"/>
  <c r="I15" i="1"/>
  <c r="G15" i="1"/>
  <c r="H15" i="1" s="1"/>
  <c r="L15" i="1" s="1"/>
  <c r="D15" i="1"/>
  <c r="K14" i="1"/>
  <c r="M15" i="1" l="1"/>
  <c r="N15" i="1"/>
  <c r="O15" i="1" l="1"/>
  <c r="E32" i="1" l="1"/>
  <c r="B32" i="1"/>
  <c r="I11" i="1" l="1"/>
  <c r="K10" i="1"/>
  <c r="K9" i="1"/>
  <c r="K11" i="1" l="1"/>
  <c r="G11" i="1"/>
  <c r="G32" i="1" s="1"/>
  <c r="D11" i="1"/>
  <c r="D32" i="1" s="1"/>
  <c r="H11" i="1" l="1"/>
  <c r="L11" i="1" l="1"/>
  <c r="L32" i="1" s="1"/>
  <c r="H32" i="1"/>
  <c r="L33" i="1" s="1"/>
  <c r="N11" i="1" l="1"/>
  <c r="N32" i="1" s="1"/>
  <c r="M11" i="1"/>
  <c r="M32" i="1" s="1"/>
  <c r="O11" i="1" l="1"/>
  <c r="O32" i="1" s="1"/>
</calcChain>
</file>

<file path=xl/sharedStrings.xml><?xml version="1.0" encoding="utf-8"?>
<sst xmlns="http://schemas.openxmlformats.org/spreadsheetml/2006/main" count="35" uniqueCount="21">
  <si>
    <t>Global Software and Digital Solutions Ltd</t>
  </si>
  <si>
    <t>Daily sale report - E-parking, Garki project</t>
  </si>
  <si>
    <t>Date</t>
  </si>
  <si>
    <t>Shop keepers</t>
  </si>
  <si>
    <t>No</t>
  </si>
  <si>
    <t>Total</t>
  </si>
  <si>
    <t xml:space="preserve"> Annual Subscription</t>
  </si>
  <si>
    <t>Cab Drivers</t>
  </si>
  <si>
    <t xml:space="preserve"> Monthly Subscription</t>
  </si>
  <si>
    <t>Total cards Sale</t>
  </si>
  <si>
    <t>Amount</t>
  </si>
  <si>
    <t>Total Collection</t>
  </si>
  <si>
    <t>AICL</t>
  </si>
  <si>
    <t>GSDS</t>
  </si>
  <si>
    <t>TOTAL</t>
  </si>
  <si>
    <t>Daily Parking collection</t>
  </si>
  <si>
    <t>Split</t>
  </si>
  <si>
    <t>Parking fee</t>
  </si>
  <si>
    <t>CARD SALES</t>
  </si>
  <si>
    <t>Nos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</si>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</sst>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14" fontId="0" fillId="0" borderId="1" xfId="0" applyNumberFormat="1" applyBorder="1"/>
    <xf numFmtId="3" fontId="0" fillId="0" borderId="2" xfId="0" applyNumberFormat="1" applyBorder="1"/>
    <xf numFmtId="0" fontId="1" fillId="0" borderId="3" xfId="0" applyFont="1" applyBorder="1"/>
    <xf numFmtId="3" fontId="0" fillId="0" borderId="3" xfId="0" applyNumberFormat="1" applyBorder="1"/>
    <xf numFmtId="0" fontId="0" fillId="0" borderId="3" xfId="0" applyBorder="1"/>
    <xf numFmtId="9" fontId="1" fillId="0" borderId="3" xfId="0" applyNumberFormat="1" applyFont="1" applyBorder="1"/>
    <xf numFmtId="3" fontId="1" fillId="0" borderId="3" xfId="0" applyNumberFormat="1" applyFont="1" applyBorder="1" applyAlignment="1">
      <alignment horizontal="right" wrapText="1"/>
    </xf>
    <xf numFmtId="0" fontId="1" fillId="0" borderId="1" xfId="0" applyFont="1" applyBorder="1"/>
    <xf numFmtId="0" fontId="0" fillId="0" borderId="1" xfId="0" applyBorder="1"/>
    <xf numFmtId="3" fontId="0" fillId="0" borderId="4" xfId="0" applyNumberFormat="1" applyBorder="1"/>
    <xf numFmtId="3" fontId="1" fillId="0" borderId="2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3" fontId="0" fillId="0" borderId="8" xfId="0" applyNumberFormat="1" applyBorder="1"/>
    <xf numFmtId="3" fontId="1" fillId="0" borderId="9" xfId="0" applyNumberFormat="1" applyFont="1" applyBorder="1"/>
    <xf numFmtId="3" fontId="1" fillId="0" borderId="9" xfId="0" applyNumberFormat="1" applyFont="1" applyBorder="1" applyAlignment="1">
      <alignment horizontal="right" wrapText="1"/>
    </xf>
    <xf numFmtId="3" fontId="0" fillId="0" borderId="9" xfId="0" applyNumberFormat="1" applyBorder="1"/>
    <xf numFmtId="3" fontId="1" fillId="0" borderId="2" xfId="0" applyNumberFormat="1" applyFont="1" applyBorder="1" applyAlignment="1">
      <alignment horizontal="right" wrapText="1"/>
    </xf>
    <xf numFmtId="3" fontId="1" fillId="0" borderId="8" xfId="0" applyNumberFormat="1" applyFont="1" applyBorder="1" applyAlignment="1">
      <alignment horizontal="right" wrapText="1"/>
    </xf>
    <xf numFmtId="3" fontId="0" fillId="0" borderId="1" xfId="0" applyNumberFormat="1" applyBorder="1"/>
    <xf numFmtId="9" fontId="1" fillId="0" borderId="2" xfId="0" applyNumberFormat="1" applyFont="1" applyBorder="1"/>
    <xf numFmtId="3" fontId="1" fillId="0" borderId="8" xfId="0" applyNumberFormat="1" applyFont="1" applyBorder="1"/>
    <xf numFmtId="3" fontId="0" fillId="0" borderId="10" xfId="0" applyNumberFormat="1" applyBorder="1"/>
    <xf numFmtId="3" fontId="1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14" fontId="1" fillId="0" borderId="1" xfId="0" applyNumberFormat="1" applyFont="1" applyBorder="1"/>
    <xf numFmtId="3" fontId="1" fillId="0" borderId="2" xfId="0" applyNumberFormat="1" applyFon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2" fillId="0" borderId="2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3" fontId="1" fillId="2" borderId="9" xfId="0" applyNumberFormat="1" applyFont="1" applyFill="1" applyBorder="1"/>
    <xf numFmtId="3" fontId="1" fillId="2" borderId="9" xfId="0" applyNumberFormat="1" applyFont="1" applyFill="1" applyBorder="1" applyAlignment="1">
      <alignment horizontal="right" wrapText="1"/>
    </xf>
    <xf numFmtId="3" fontId="0" fillId="2" borderId="9" xfId="0" applyNumberFormat="1" applyFill="1" applyBorder="1"/>
    <xf numFmtId="3" fontId="1" fillId="2" borderId="8" xfId="0" applyNumberFormat="1" applyFont="1" applyFill="1" applyBorder="1" applyAlignment="1">
      <alignment horizontal="right" wrapText="1"/>
    </xf>
    <xf numFmtId="3" fontId="1" fillId="2" borderId="8" xfId="0" applyNumberFormat="1" applyFont="1" applyFill="1" applyBorder="1"/>
    <xf numFmtId="3" fontId="0" fillId="2" borderId="8" xfId="0" applyNumberFormat="1" applyFill="1" applyBorder="1"/>
    <xf numFmtId="3" fontId="0" fillId="2" borderId="16" xfId="0" applyNumberFormat="1" applyFill="1" applyBorder="1"/>
    <xf numFmtId="3" fontId="1" fillId="3" borderId="2" xfId="0" applyNumberFormat="1" applyFont="1" applyFill="1" applyBorder="1" applyAlignment="1">
      <alignment horizontal="right" wrapText="1"/>
    </xf>
    <xf numFmtId="3" fontId="1" fillId="3" borderId="2" xfId="0" applyNumberFormat="1" applyFont="1" applyFill="1" applyBorder="1"/>
    <xf numFmtId="3" fontId="0" fillId="3" borderId="2" xfId="0" applyNumberFormat="1" applyFill="1" applyBorder="1"/>
    <xf numFmtId="3" fontId="0" fillId="3" borderId="14" xfId="0" applyNumberFormat="1" applyFill="1" applyBorder="1"/>
    <xf numFmtId="3" fontId="1" fillId="4" borderId="3" xfId="0" applyNumberFormat="1" applyFont="1" applyFill="1" applyBorder="1" applyAlignment="1">
      <alignment horizontal="right" wrapText="1"/>
    </xf>
    <xf numFmtId="3" fontId="1" fillId="4" borderId="3" xfId="0" applyNumberFormat="1" applyFont="1" applyFill="1" applyBorder="1"/>
    <xf numFmtId="3" fontId="0" fillId="4" borderId="3" xfId="0" applyNumberFormat="1" applyFill="1" applyBorder="1"/>
    <xf numFmtId="3" fontId="0" fillId="4" borderId="15" xfId="0" applyNumberFormat="1" applyFill="1" applyBorder="1"/>
    <xf numFmtId="3" fontId="0" fillId="0" borderId="2" xfId="0" applyNumberFormat="1" applyFont="1" applyBorder="1"/>
    <xf numFmtId="3" fontId="0" fillId="0" borderId="3" xfId="0" applyNumberFormat="1" applyFont="1" applyBorder="1"/>
    <xf numFmtId="3" fontId="1" fillId="0" borderId="5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F32A-7B2E-4382-AF72-F28D654BC71F}">
  <dimension ref="A1:P33"/>
  <sheetViews>
    <sheetView tabSelected="1" topLeftCell="A16" workbookViewId="0">
      <selection activeCell="K33" sqref="K33"/>
    </sheetView>
  </sheetViews>
  <sheetFormatPr defaultRowHeight="14.5" x14ac:dyDescent="0.35"/>
  <cols>
    <col min="1" max="1" width="11.08984375" customWidth="1"/>
    <col min="2" max="2" width="5" style="2" customWidth="1"/>
    <col min="3" max="3" width="9.54296875" style="2" customWidth="1"/>
    <col min="4" max="4" width="10.7265625" style="2" customWidth="1"/>
    <col min="5" max="5" width="5.54296875" style="2" customWidth="1"/>
    <col min="6" max="6" width="8.7265625" style="2"/>
    <col min="7" max="7" width="9.81640625" style="2" customWidth="1"/>
    <col min="8" max="8" width="9.90625" style="2" customWidth="1"/>
    <col min="9" max="9" width="6.453125" style="2" customWidth="1"/>
    <col min="10" max="10" width="7.26953125" style="2" customWidth="1"/>
    <col min="11" max="11" width="11.7265625" style="2" customWidth="1"/>
    <col min="12" max="12" width="10" style="2" customWidth="1"/>
    <col min="13" max="14" width="8.90625" style="2" bestFit="1" customWidth="1"/>
    <col min="15" max="15" width="9.81640625" style="2" customWidth="1"/>
    <col min="16" max="16" width="8.7265625" style="2"/>
  </cols>
  <sheetData>
    <row r="1" spans="1:1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x14ac:dyDescent="0.35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6" ht="15" thickBot="1" x14ac:dyDescent="0.4">
      <c r="A3" s="6" t="s">
        <v>1</v>
      </c>
      <c r="B3" s="13"/>
      <c r="C3" s="13"/>
      <c r="D3" s="13"/>
      <c r="E3" s="13"/>
      <c r="F3" s="13"/>
      <c r="G3" s="13"/>
      <c r="H3" s="7"/>
      <c r="I3" s="7"/>
      <c r="J3" s="7"/>
      <c r="K3" s="7"/>
      <c r="L3" s="7"/>
      <c r="M3" s="13"/>
      <c r="N3" s="13"/>
      <c r="O3" s="13"/>
    </row>
    <row r="4" spans="1:16" ht="15" thickBot="1" x14ac:dyDescent="0.4">
      <c r="A4" s="11"/>
      <c r="B4" s="55" t="s">
        <v>18</v>
      </c>
      <c r="C4" s="56"/>
      <c r="D4" s="56"/>
      <c r="E4" s="56"/>
      <c r="F4" s="56"/>
      <c r="G4" s="57"/>
      <c r="H4" s="25"/>
      <c r="I4" s="13"/>
      <c r="J4" s="13"/>
      <c r="K4" s="13"/>
      <c r="L4" s="22"/>
      <c r="M4" s="52" t="s">
        <v>16</v>
      </c>
      <c r="N4" s="53"/>
      <c r="O4" s="54"/>
    </row>
    <row r="5" spans="1:16" s="1" customFormat="1" x14ac:dyDescent="0.35">
      <c r="A5" s="11"/>
      <c r="B5" s="52" t="s">
        <v>3</v>
      </c>
      <c r="C5" s="53"/>
      <c r="D5" s="54"/>
      <c r="E5" s="52" t="s">
        <v>7</v>
      </c>
      <c r="F5" s="53"/>
      <c r="G5" s="54"/>
      <c r="H5" s="17"/>
      <c r="I5" s="52" t="s">
        <v>15</v>
      </c>
      <c r="J5" s="53"/>
      <c r="K5" s="54"/>
      <c r="L5" s="17"/>
      <c r="M5" s="23">
        <v>0.3</v>
      </c>
      <c r="N5" s="9">
        <v>0.7</v>
      </c>
      <c r="O5" s="24"/>
      <c r="P5" s="3"/>
    </row>
    <row r="6" spans="1:16" s="1" customFormat="1" ht="43.5" x14ac:dyDescent="0.35">
      <c r="A6" s="11" t="s">
        <v>2</v>
      </c>
      <c r="B6" s="14" t="s">
        <v>4</v>
      </c>
      <c r="C6" s="10" t="s">
        <v>6</v>
      </c>
      <c r="D6" s="15" t="s">
        <v>5</v>
      </c>
      <c r="E6" s="14" t="s">
        <v>4</v>
      </c>
      <c r="F6" s="10" t="s">
        <v>8</v>
      </c>
      <c r="G6" s="15" t="s">
        <v>5</v>
      </c>
      <c r="H6" s="18" t="s">
        <v>9</v>
      </c>
      <c r="I6" s="20" t="s">
        <v>4</v>
      </c>
      <c r="J6" s="10" t="s">
        <v>17</v>
      </c>
      <c r="K6" s="21" t="s">
        <v>10</v>
      </c>
      <c r="L6" s="36" t="s">
        <v>11</v>
      </c>
      <c r="M6" s="42" t="s">
        <v>12</v>
      </c>
      <c r="N6" s="46" t="s">
        <v>13</v>
      </c>
      <c r="O6" s="38" t="s">
        <v>14</v>
      </c>
      <c r="P6" s="3"/>
    </row>
    <row r="7" spans="1:16" x14ac:dyDescent="0.35">
      <c r="A7" s="4"/>
      <c r="B7" s="5"/>
      <c r="C7" s="7"/>
      <c r="D7" s="16"/>
      <c r="E7" s="5"/>
      <c r="F7" s="7"/>
      <c r="G7" s="16"/>
      <c r="H7" s="19"/>
      <c r="I7" s="5"/>
      <c r="J7" s="7"/>
      <c r="K7" s="16"/>
      <c r="L7" s="37"/>
      <c r="M7" s="44"/>
      <c r="N7" s="48"/>
      <c r="O7" s="40"/>
    </row>
    <row r="8" spans="1:16" x14ac:dyDescent="0.35">
      <c r="A8" s="4"/>
      <c r="B8" s="5"/>
      <c r="C8" s="7"/>
      <c r="D8" s="16"/>
      <c r="E8" s="5"/>
      <c r="F8" s="7"/>
      <c r="G8" s="16"/>
      <c r="H8" s="19"/>
      <c r="I8" s="33" t="s">
        <v>19</v>
      </c>
      <c r="J8" s="27" t="s">
        <v>20</v>
      </c>
      <c r="K8" s="34" t="s">
        <v>10</v>
      </c>
      <c r="L8" s="37"/>
      <c r="M8" s="44"/>
      <c r="N8" s="48"/>
      <c r="O8" s="40"/>
    </row>
    <row r="9" spans="1:16" x14ac:dyDescent="0.35">
      <c r="A9" s="4"/>
      <c r="B9" s="5"/>
      <c r="C9" s="7"/>
      <c r="D9" s="16"/>
      <c r="E9" s="5"/>
      <c r="F9" s="7"/>
      <c r="G9" s="16"/>
      <c r="H9" s="19"/>
      <c r="I9" s="5">
        <v>9</v>
      </c>
      <c r="J9" s="7">
        <v>600</v>
      </c>
      <c r="K9" s="16">
        <f t="shared" ref="K9:K10" si="0">J9*I9</f>
        <v>5400</v>
      </c>
      <c r="L9" s="37"/>
      <c r="M9" s="44"/>
      <c r="N9" s="48"/>
      <c r="O9" s="40"/>
    </row>
    <row r="10" spans="1:16" x14ac:dyDescent="0.35">
      <c r="A10" s="4"/>
      <c r="B10" s="5"/>
      <c r="C10" s="7"/>
      <c r="D10" s="16"/>
      <c r="E10" s="5"/>
      <c r="F10" s="7"/>
      <c r="G10" s="16"/>
      <c r="H10" s="19"/>
      <c r="I10" s="5">
        <v>441</v>
      </c>
      <c r="J10" s="7">
        <v>300</v>
      </c>
      <c r="K10" s="16">
        <f t="shared" si="0"/>
        <v>132300</v>
      </c>
      <c r="L10" s="37"/>
      <c r="M10" s="44"/>
      <c r="N10" s="48"/>
      <c r="O10" s="40"/>
    </row>
    <row r="11" spans="1:16" x14ac:dyDescent="0.35">
      <c r="A11" s="28">
        <v>46235</v>
      </c>
      <c r="B11" s="29">
        <v>0</v>
      </c>
      <c r="C11" s="26">
        <v>10500</v>
      </c>
      <c r="D11" s="24">
        <f t="shared" ref="D11" si="1">C11*B11</f>
        <v>0</v>
      </c>
      <c r="E11" s="29">
        <v>0</v>
      </c>
      <c r="F11" s="26">
        <v>2000</v>
      </c>
      <c r="G11" s="24">
        <f t="shared" ref="G11" si="2">E11*F11</f>
        <v>0</v>
      </c>
      <c r="H11" s="17">
        <f t="shared" ref="H11" si="3">G11+D11</f>
        <v>0</v>
      </c>
      <c r="I11" s="29">
        <f>SUM(I9:I10)</f>
        <v>450</v>
      </c>
      <c r="J11" s="26"/>
      <c r="K11" s="24">
        <f>SUM(K9:K10)</f>
        <v>137700</v>
      </c>
      <c r="L11" s="35">
        <f t="shared" ref="L11" si="4">K11+H11</f>
        <v>137700</v>
      </c>
      <c r="M11" s="43">
        <f>L11*$M$5</f>
        <v>41310</v>
      </c>
      <c r="N11" s="47">
        <f>L11*$N$5</f>
        <v>96390</v>
      </c>
      <c r="O11" s="39">
        <f>SUM(M11:N11)</f>
        <v>137700</v>
      </c>
    </row>
    <row r="12" spans="1:16" x14ac:dyDescent="0.35">
      <c r="A12" s="28"/>
      <c r="B12" s="29"/>
      <c r="C12" s="26"/>
      <c r="D12" s="24"/>
      <c r="E12" s="29"/>
      <c r="F12" s="26"/>
      <c r="G12" s="24"/>
      <c r="H12" s="17"/>
      <c r="I12" s="29"/>
      <c r="J12" s="26"/>
      <c r="K12" s="24"/>
      <c r="L12" s="35"/>
      <c r="M12" s="43"/>
      <c r="N12" s="47"/>
      <c r="O12" s="39"/>
    </row>
    <row r="13" spans="1:16" x14ac:dyDescent="0.35">
      <c r="A13" s="28"/>
      <c r="B13" s="29"/>
      <c r="C13" s="26"/>
      <c r="D13" s="24"/>
      <c r="E13" s="29"/>
      <c r="F13" s="26"/>
      <c r="G13" s="24"/>
      <c r="H13" s="17"/>
      <c r="I13" s="33" t="s">
        <v>19</v>
      </c>
      <c r="J13" s="27" t="s">
        <v>20</v>
      </c>
      <c r="K13" s="34" t="s">
        <v>10</v>
      </c>
      <c r="L13" s="35"/>
      <c r="M13" s="43"/>
      <c r="N13" s="47"/>
      <c r="O13" s="39"/>
    </row>
    <row r="14" spans="1:16" x14ac:dyDescent="0.35">
      <c r="A14" s="28"/>
      <c r="B14" s="29"/>
      <c r="C14" s="26"/>
      <c r="D14" s="24"/>
      <c r="E14" s="29"/>
      <c r="F14" s="26"/>
      <c r="G14" s="24"/>
      <c r="H14" s="17"/>
      <c r="I14" s="5">
        <v>32</v>
      </c>
      <c r="J14" s="7">
        <v>300</v>
      </c>
      <c r="K14" s="16">
        <f t="shared" ref="K14" si="5">J14*I14</f>
        <v>9600</v>
      </c>
      <c r="L14" s="35"/>
      <c r="M14" s="43"/>
      <c r="N14" s="47"/>
      <c r="O14" s="39"/>
    </row>
    <row r="15" spans="1:16" x14ac:dyDescent="0.35">
      <c r="A15" s="28">
        <v>46236</v>
      </c>
      <c r="B15" s="29">
        <v>0</v>
      </c>
      <c r="C15" s="26">
        <v>10500</v>
      </c>
      <c r="D15" s="24">
        <f t="shared" ref="D15" si="6">C15*B15</f>
        <v>0</v>
      </c>
      <c r="E15" s="29">
        <v>0</v>
      </c>
      <c r="F15" s="26">
        <v>2000</v>
      </c>
      <c r="G15" s="24">
        <f t="shared" ref="G15" si="7">E15*F15</f>
        <v>0</v>
      </c>
      <c r="H15" s="17">
        <f t="shared" ref="H15" si="8">G15+D15</f>
        <v>0</v>
      </c>
      <c r="I15" s="29">
        <f>SUM(I13:I14)</f>
        <v>32</v>
      </c>
      <c r="J15" s="26"/>
      <c r="K15" s="24">
        <f>SUM(K13:K14)</f>
        <v>9600</v>
      </c>
      <c r="L15" s="35">
        <f t="shared" ref="L15" si="9">K15+H15</f>
        <v>9600</v>
      </c>
      <c r="M15" s="43">
        <f>L15*$M$5</f>
        <v>2880</v>
      </c>
      <c r="N15" s="47">
        <f>L15*$N$5</f>
        <v>6720</v>
      </c>
      <c r="O15" s="39">
        <f>SUM(M15:N15)</f>
        <v>9600</v>
      </c>
    </row>
    <row r="16" spans="1:16" x14ac:dyDescent="0.35">
      <c r="A16" s="28"/>
      <c r="B16" s="29"/>
      <c r="C16" s="26"/>
      <c r="D16" s="24"/>
      <c r="E16" s="29"/>
      <c r="F16" s="26"/>
      <c r="G16" s="24"/>
      <c r="H16" s="17"/>
      <c r="I16" s="29"/>
      <c r="J16" s="26"/>
      <c r="K16" s="24"/>
      <c r="L16" s="35"/>
      <c r="M16" s="43"/>
      <c r="N16" s="47"/>
      <c r="O16" s="39"/>
    </row>
    <row r="17" spans="1:15" x14ac:dyDescent="0.35">
      <c r="A17" s="28"/>
      <c r="B17" s="29"/>
      <c r="C17" s="26"/>
      <c r="D17" s="24"/>
      <c r="E17" s="29"/>
      <c r="F17" s="26"/>
      <c r="G17" s="24"/>
      <c r="H17" s="17"/>
      <c r="I17" s="33" t="s">
        <v>19</v>
      </c>
      <c r="J17" s="27" t="s">
        <v>20</v>
      </c>
      <c r="K17" s="34" t="s">
        <v>10</v>
      </c>
      <c r="L17" s="35"/>
      <c r="M17" s="43"/>
      <c r="N17" s="47"/>
      <c r="O17" s="39"/>
    </row>
    <row r="18" spans="1:15" x14ac:dyDescent="0.35">
      <c r="A18" s="28"/>
      <c r="B18" s="29"/>
      <c r="C18" s="26"/>
      <c r="D18" s="24"/>
      <c r="E18" s="29"/>
      <c r="F18" s="26"/>
      <c r="G18" s="24"/>
      <c r="H18" s="17"/>
      <c r="I18" s="5">
        <v>19</v>
      </c>
      <c r="J18" s="7">
        <v>600</v>
      </c>
      <c r="K18" s="16">
        <f t="shared" ref="K18:K20" si="10">J18*I18</f>
        <v>11400</v>
      </c>
      <c r="L18" s="35"/>
      <c r="M18" s="43"/>
      <c r="N18" s="47"/>
      <c r="O18" s="39"/>
    </row>
    <row r="19" spans="1:15" x14ac:dyDescent="0.35">
      <c r="A19" s="28"/>
      <c r="B19" s="29"/>
      <c r="C19" s="26"/>
      <c r="D19" s="24"/>
      <c r="E19" s="29"/>
      <c r="F19" s="26"/>
      <c r="G19" s="24"/>
      <c r="H19" s="17"/>
      <c r="I19" s="5">
        <v>451</v>
      </c>
      <c r="J19" s="7">
        <v>300</v>
      </c>
      <c r="K19" s="16">
        <f t="shared" si="10"/>
        <v>135300</v>
      </c>
      <c r="L19" s="35"/>
      <c r="M19" s="43"/>
      <c r="N19" s="47"/>
      <c r="O19" s="39"/>
    </row>
    <row r="20" spans="1:15" x14ac:dyDescent="0.35">
      <c r="A20" s="28"/>
      <c r="B20" s="29"/>
      <c r="C20" s="26"/>
      <c r="D20" s="24"/>
      <c r="E20" s="29"/>
      <c r="F20" s="26"/>
      <c r="G20" s="24"/>
      <c r="H20" s="17"/>
      <c r="I20" s="50">
        <v>1</v>
      </c>
      <c r="J20" s="51">
        <v>3000</v>
      </c>
      <c r="K20" s="16">
        <f t="shared" si="10"/>
        <v>3000</v>
      </c>
      <c r="L20" s="35"/>
      <c r="M20" s="43"/>
      <c r="N20" s="47"/>
      <c r="O20" s="39"/>
    </row>
    <row r="21" spans="1:15" x14ac:dyDescent="0.35">
      <c r="A21" s="28">
        <v>46237</v>
      </c>
      <c r="B21" s="29">
        <v>1</v>
      </c>
      <c r="C21" s="26">
        <v>10500</v>
      </c>
      <c r="D21" s="24">
        <f t="shared" ref="D21" si="11">C21*B21</f>
        <v>10500</v>
      </c>
      <c r="E21" s="29">
        <v>8</v>
      </c>
      <c r="F21" s="26">
        <v>2000</v>
      </c>
      <c r="G21" s="24">
        <f t="shared" ref="G21" si="12">E21*F21</f>
        <v>16000</v>
      </c>
      <c r="H21" s="17">
        <f t="shared" ref="H21" si="13">G21+D21</f>
        <v>26500</v>
      </c>
      <c r="I21" s="29">
        <f>SUM(I18:I20)</f>
        <v>471</v>
      </c>
      <c r="J21" s="26"/>
      <c r="K21" s="24">
        <f>SUM(K18:K20)</f>
        <v>149700</v>
      </c>
      <c r="L21" s="35">
        <f t="shared" ref="L21" si="14">K21+H21</f>
        <v>176200</v>
      </c>
      <c r="M21" s="43">
        <f>L21*$M$5</f>
        <v>52860</v>
      </c>
      <c r="N21" s="47">
        <f>L21*$N$5</f>
        <v>123339.99999999999</v>
      </c>
      <c r="O21" s="39">
        <f>SUM(M21:N21)</f>
        <v>176200</v>
      </c>
    </row>
    <row r="22" spans="1:15" x14ac:dyDescent="0.35">
      <c r="A22" s="28"/>
      <c r="B22" s="29"/>
      <c r="C22" s="26"/>
      <c r="D22" s="24"/>
      <c r="E22" s="29"/>
      <c r="F22" s="26"/>
      <c r="G22" s="24"/>
      <c r="H22" s="17"/>
      <c r="I22" s="29"/>
      <c r="J22" s="26"/>
      <c r="K22" s="24"/>
      <c r="L22" s="35"/>
      <c r="M22" s="43"/>
      <c r="N22" s="47"/>
      <c r="O22" s="39"/>
    </row>
    <row r="23" spans="1:15" x14ac:dyDescent="0.35">
      <c r="A23" s="28"/>
      <c r="B23" s="29"/>
      <c r="C23" s="26"/>
      <c r="D23" s="24"/>
      <c r="E23" s="29"/>
      <c r="F23" s="26"/>
      <c r="G23" s="24"/>
      <c r="H23" s="17"/>
      <c r="I23" s="33" t="s">
        <v>19</v>
      </c>
      <c r="J23" s="27" t="s">
        <v>20</v>
      </c>
      <c r="K23" s="34" t="s">
        <v>10</v>
      </c>
      <c r="L23" s="35"/>
      <c r="M23" s="43"/>
      <c r="N23" s="47"/>
      <c r="O23" s="39"/>
    </row>
    <row r="24" spans="1:15" x14ac:dyDescent="0.35">
      <c r="A24" s="28"/>
      <c r="B24" s="29"/>
      <c r="C24" s="26"/>
      <c r="D24" s="24"/>
      <c r="E24" s="29"/>
      <c r="F24" s="26"/>
      <c r="G24" s="24"/>
      <c r="H24" s="17"/>
      <c r="I24" s="5">
        <v>21</v>
      </c>
      <c r="J24" s="7">
        <v>600</v>
      </c>
      <c r="K24" s="16">
        <f t="shared" ref="K24:K26" si="15">J24*I24</f>
        <v>12600</v>
      </c>
      <c r="L24" s="35"/>
      <c r="M24" s="43"/>
      <c r="N24" s="47"/>
      <c r="O24" s="39"/>
    </row>
    <row r="25" spans="1:15" x14ac:dyDescent="0.35">
      <c r="A25" s="28"/>
      <c r="B25" s="29"/>
      <c r="C25" s="26"/>
      <c r="D25" s="24"/>
      <c r="E25" s="29"/>
      <c r="F25" s="26"/>
      <c r="G25" s="24"/>
      <c r="H25" s="17"/>
      <c r="I25" s="5">
        <v>476</v>
      </c>
      <c r="J25" s="7">
        <v>300</v>
      </c>
      <c r="K25" s="16">
        <f t="shared" si="15"/>
        <v>142800</v>
      </c>
      <c r="L25" s="35"/>
      <c r="M25" s="43"/>
      <c r="N25" s="47"/>
      <c r="O25" s="39"/>
    </row>
    <row r="26" spans="1:15" x14ac:dyDescent="0.35">
      <c r="A26" s="28"/>
      <c r="B26" s="29"/>
      <c r="C26" s="26"/>
      <c r="D26" s="24"/>
      <c r="E26" s="29"/>
      <c r="F26" s="26"/>
      <c r="G26" s="24"/>
      <c r="H26" s="17"/>
      <c r="I26" s="50">
        <v>1</v>
      </c>
      <c r="J26" s="51">
        <v>1200</v>
      </c>
      <c r="K26" s="16">
        <f t="shared" si="15"/>
        <v>1200</v>
      </c>
      <c r="L26" s="35"/>
      <c r="M26" s="43"/>
      <c r="N26" s="47"/>
      <c r="O26" s="39"/>
    </row>
    <row r="27" spans="1:15" x14ac:dyDescent="0.35">
      <c r="A27" s="28">
        <v>46238</v>
      </c>
      <c r="B27" s="29">
        <v>0</v>
      </c>
      <c r="C27" s="26">
        <v>10500</v>
      </c>
      <c r="D27" s="24">
        <f t="shared" ref="D27" si="16">C27*B27</f>
        <v>0</v>
      </c>
      <c r="E27" s="29">
        <v>1</v>
      </c>
      <c r="F27" s="26">
        <v>2000</v>
      </c>
      <c r="G27" s="24">
        <f t="shared" ref="G27" si="17">E27*F27</f>
        <v>2000</v>
      </c>
      <c r="H27" s="17">
        <f t="shared" ref="H27" si="18">G27+D27</f>
        <v>2000</v>
      </c>
      <c r="I27" s="29">
        <f>SUM(I24:I26)</f>
        <v>498</v>
      </c>
      <c r="J27" s="26"/>
      <c r="K27" s="24">
        <f>SUM(K24:K26)</f>
        <v>156600</v>
      </c>
      <c r="L27" s="35">
        <f t="shared" ref="L27" si="19">K27+H27</f>
        <v>158600</v>
      </c>
      <c r="M27" s="43">
        <f>L27*$M$5</f>
        <v>47580</v>
      </c>
      <c r="N27" s="47">
        <f>L27*$N$5</f>
        <v>111020</v>
      </c>
      <c r="O27" s="39">
        <f>SUM(M27:N27)</f>
        <v>158600</v>
      </c>
    </row>
    <row r="28" spans="1:15" x14ac:dyDescent="0.35">
      <c r="A28" s="28"/>
      <c r="B28" s="29"/>
      <c r="C28" s="26"/>
      <c r="D28" s="24"/>
      <c r="E28" s="29"/>
      <c r="F28" s="26"/>
      <c r="G28" s="24"/>
      <c r="H28" s="17"/>
      <c r="I28" s="29"/>
      <c r="J28" s="26"/>
      <c r="K28" s="24"/>
      <c r="L28" s="35"/>
      <c r="M28" s="43"/>
      <c r="N28" s="47"/>
      <c r="O28" s="39"/>
    </row>
    <row r="29" spans="1:15" x14ac:dyDescent="0.35">
      <c r="A29" s="28"/>
      <c r="B29" s="29"/>
      <c r="C29" s="26"/>
      <c r="D29" s="24"/>
      <c r="E29" s="29"/>
      <c r="F29" s="26"/>
      <c r="G29" s="24"/>
      <c r="H29" s="17"/>
      <c r="I29" s="29"/>
      <c r="J29" s="26"/>
      <c r="K29" s="24"/>
      <c r="L29" s="35"/>
      <c r="M29" s="43"/>
      <c r="N29" s="47"/>
      <c r="O29" s="39"/>
    </row>
    <row r="30" spans="1:15" x14ac:dyDescent="0.35">
      <c r="A30" s="28"/>
      <c r="B30" s="29"/>
      <c r="C30" s="26"/>
      <c r="D30" s="24"/>
      <c r="E30" s="29"/>
      <c r="F30" s="26"/>
      <c r="G30" s="24"/>
      <c r="H30" s="17"/>
      <c r="I30" s="29"/>
      <c r="J30" s="26"/>
      <c r="K30" s="24"/>
      <c r="L30" s="35"/>
      <c r="M30" s="43"/>
      <c r="N30" s="47"/>
      <c r="O30" s="39"/>
    </row>
    <row r="31" spans="1:15" x14ac:dyDescent="0.35">
      <c r="A31" s="28"/>
      <c r="B31" s="29"/>
      <c r="C31" s="26"/>
      <c r="D31" s="24"/>
      <c r="E31" s="29"/>
      <c r="F31" s="26"/>
      <c r="G31" s="24"/>
      <c r="H31" s="17"/>
      <c r="I31" s="50"/>
      <c r="J31" s="51"/>
      <c r="K31" s="16"/>
      <c r="L31" s="35"/>
      <c r="M31" s="43"/>
      <c r="N31" s="47"/>
      <c r="O31" s="39"/>
    </row>
    <row r="32" spans="1:15" x14ac:dyDescent="0.35">
      <c r="A32" s="11" t="s">
        <v>14</v>
      </c>
      <c r="B32" s="29">
        <f>SUM(B7:B31)</f>
        <v>1</v>
      </c>
      <c r="C32" s="26"/>
      <c r="D32" s="24">
        <f>SUM(D7:D31)</f>
        <v>10500</v>
      </c>
      <c r="E32" s="29">
        <f>SUM(E7:E31)</f>
        <v>9</v>
      </c>
      <c r="F32" s="26"/>
      <c r="G32" s="24">
        <f>SUM(G7:G31)</f>
        <v>18000</v>
      </c>
      <c r="H32" s="17">
        <f>SUM(H7:H31)</f>
        <v>28500</v>
      </c>
      <c r="I32" s="29">
        <f>I11+I15+I21+I27</f>
        <v>1451</v>
      </c>
      <c r="J32" s="26"/>
      <c r="K32" s="24">
        <f>K11+K15+K21+K27</f>
        <v>453600</v>
      </c>
      <c r="L32" s="35">
        <f>SUM(L7:L31)</f>
        <v>482100</v>
      </c>
      <c r="M32" s="43">
        <f>SUM(M7:M31)</f>
        <v>144630</v>
      </c>
      <c r="N32" s="47">
        <f>SUM(N7:N31)</f>
        <v>337470</v>
      </c>
      <c r="O32" s="39">
        <f>SUM(O7:O31)</f>
        <v>482100</v>
      </c>
    </row>
    <row r="33" spans="1:15" ht="15" thickBot="1" x14ac:dyDescent="0.4">
      <c r="A33" s="12"/>
      <c r="B33" s="30"/>
      <c r="C33" s="31"/>
      <c r="D33" s="32"/>
      <c r="E33" s="30"/>
      <c r="F33" s="31"/>
      <c r="G33" s="32"/>
      <c r="H33" s="19"/>
      <c r="I33" s="30"/>
      <c r="J33" s="31"/>
      <c r="K33" s="32"/>
      <c r="L33" s="37">
        <f>H32+K32</f>
        <v>482100</v>
      </c>
      <c r="M33" s="45"/>
      <c r="N33" s="49"/>
      <c r="O33" s="41"/>
    </row>
  </sheetData>
  <mergeCells count="5">
    <mergeCell ref="B5:D5"/>
    <mergeCell ref="E5:G5"/>
    <mergeCell ref="I5:K5"/>
    <mergeCell ref="M4:O4"/>
    <mergeCell ref="B4:G4"/>
  </mergeCells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Bansal</dc:creator>
  <cp:lastModifiedBy>Sanjeev Bansal</cp:lastModifiedBy>
  <cp:lastPrinted>2026-03-12T12:58:29Z</cp:lastPrinted>
  <dcterms:created xsi:type="dcterms:W3CDTF">2026-03-12T08:26:19Z</dcterms:created>
  <dcterms:modified xsi:type="dcterms:W3CDTF">2026-08-05T03:50:48Z</dcterms:modified>
</cp:coreProperties>
</file>